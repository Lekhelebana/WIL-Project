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tables/table4.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Instructions" sheetId="1" state="visible" r:id="rId3"/>
    <sheet name="Project Overview" sheetId="2" state="visible" r:id="rId4"/>
    <sheet name="Task Progress" sheetId="3" state="visible" r:id="rId5"/>
    <sheet name="Individual Contributions" sheetId="4" state="visible" r:id="rId6"/>
    <sheet name="Challenges &amp; Actions" sheetId="5" state="visible" r:id="rId7"/>
    <sheet name="Phase Summary" sheetId="6" state="visible" r:id="rId8"/>
    <sheet name="Stakeholder Engagement" sheetId="7" state="visible" r:id="rId9"/>
    <sheet name="Group Reflec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<sst xmlns="http://schemas.openxmlformats.org/spreadsheetml/2006/main" count="679" uniqueCount="404">
  <si>
    <t xml:space="preserve">ITC327W Project Progress and Contribution Workbook</t>
  </si>
  <si>
    <t xml:space="preserve">Use this workbook throughout the semester. Update it after each project phase and submit the same workbook again so that progress can be tracked over time.</t>
  </si>
  <si>
    <t xml:space="preserve">Sheet</t>
  </si>
  <si>
    <t xml:space="preserve">Purpose</t>
  </si>
  <si>
    <t xml:space="preserve">Evidence and Accountability Rules</t>
  </si>
  <si>
    <t xml:space="preserve">Project Overview</t>
  </si>
  <si>
    <t xml:space="preserve">Enter the group and project details. The dashboard summarises task progress automatically.</t>
  </si>
  <si>
    <t xml:space="preserve">1</t>
  </si>
  <si>
    <t xml:space="preserve">Every student must be assigned meaningful work in Microsoft Project.</t>
  </si>
  <si>
    <t xml:space="preserve">Task Progress</t>
  </si>
  <si>
    <t xml:space="preserve">Record planned and completed tasks, responsible students, dates, status, percentage completed and evidence.</t>
  </si>
  <si>
    <t xml:space="preserve">2</t>
  </si>
  <si>
    <t xml:space="preserve">Completed work must be supported by evidence such as GitHub activity, meeting records, document sections, screenshots or stakeholder communication.</t>
  </si>
  <si>
    <t xml:space="preserve">Individual Contributions</t>
  </si>
  <si>
    <t xml:space="preserve">Record the work personally completed by each student. Every entry must have evidence.</t>
  </si>
  <si>
    <t xml:space="preserve">3</t>
  </si>
  <si>
    <t xml:space="preserve">GitHub commits are not the only evidence. Planning, interviewing, documentation, coordination and quality review also count.</t>
  </si>
  <si>
    <t xml:space="preserve">Stakeholder Engagement</t>
  </si>
  <si>
    <t xml:space="preserve">Record meetings, calls and emails with the stakeholder and the main outcomes.</t>
  </si>
  <si>
    <t xml:space="preserve">4</t>
  </si>
  <si>
    <t xml:space="preserve">Do not record work as completed by a student when it was completed by someone else.</t>
  </si>
  <si>
    <t xml:space="preserve">Challenges &amp; Actions</t>
  </si>
  <si>
    <t xml:space="preserve">Record project challenges, their effect and the corrective action taken.</t>
  </si>
  <si>
    <t xml:space="preserve">5</t>
  </si>
  <si>
    <t xml:space="preserve">Do not place passwords, API keys, identity numbers, private contact details or confidential records in this workbook or on GitHub.</t>
  </si>
  <si>
    <t xml:space="preserve">Phase Summary</t>
  </si>
  <si>
    <t xml:space="preserve">Provide a short summary of the phase, including achievements, outstanding work and participation concerns.</t>
  </si>
  <si>
    <t xml:space="preserve">6</t>
  </si>
  <si>
    <t xml:space="preserve">The confidential individual peer evaluation must be completed separately on Blackboard.</t>
  </si>
  <si>
    <t xml:space="preserve">Group Reflection</t>
  </si>
  <si>
    <t xml:space="preserve">Complete one shared reflection after each phase. Be honest and specific.</t>
  </si>
  <si>
    <t xml:space="preserve">Recommended Update Points</t>
  </si>
  <si>
    <t xml:space="preserve">Unit 1 / Phase 1</t>
  </si>
  <si>
    <t xml:space="preserve">Planning, stakeholder engagement, requirements and initial SRS</t>
  </si>
  <si>
    <t xml:space="preserve">Phase 2</t>
  </si>
  <si>
    <t xml:space="preserve">Architecture, UML, ERD and interface design</t>
  </si>
  <si>
    <t xml:space="preserve">Phase 3</t>
  </si>
  <si>
    <t xml:space="preserve">Development, integration, testing and demonstration</t>
  </si>
  <si>
    <t xml:space="preserve">Final</t>
  </si>
  <si>
    <t xml:space="preserve">Overall project summary and final reflection</t>
  </si>
  <si>
    <t xml:space="preserve">Project Overview and Progress Dashboard</t>
  </si>
  <si>
    <t xml:space="preserve">Project Information</t>
  </si>
  <si>
    <t xml:space="preserve">Group Response</t>
  </si>
  <si>
    <t xml:space="preserve">Task Status</t>
  </si>
  <si>
    <t xml:space="preserve">Count</t>
  </si>
  <si>
    <t xml:space="preserve">Group name or number</t>
  </si>
  <si>
    <t xml:space="preserve">Group 4 — Digital Vanguard</t>
  </si>
  <si>
    <t xml:space="preserve">Completed</t>
  </si>
  <si>
    <t xml:space="preserve">Project title</t>
  </si>
  <si>
    <t xml:space="preserve">Nama Nameng: A Mobile and Web-Based Ordering, Payment and Queue Management System</t>
  </si>
  <si>
    <t xml:space="preserve">In Progress</t>
  </si>
  <si>
    <t xml:space="preserve">Stakeholder or organisation</t>
  </si>
  <si>
    <t xml:space="preserve">Nama Nameng (Chisa Nyama) — Owner: Doja</t>
  </si>
  <si>
    <t xml:space="preserve">Not Started</t>
  </si>
  <si>
    <t xml:space="preserve">Group mentor</t>
  </si>
  <si>
    <t xml:space="preserve">To be confirmed with module coordinator</t>
  </si>
  <si>
    <t xml:space="preserve">Delayed</t>
  </si>
  <si>
    <t xml:space="preserve">Reporting phase</t>
  </si>
  <si>
    <t xml:space="preserve">Blocked</t>
  </si>
  <si>
    <t xml:space="preserve">Reporting period</t>
  </si>
  <si>
    <t xml:space="preserve">18 Aug 2026 – 26 Aug 2026</t>
  </si>
  <si>
    <t xml:space="preserve">Overdue</t>
  </si>
  <si>
    <t xml:space="preserve">Overall status</t>
  </si>
  <si>
    <t xml:space="preserve">Overall % complete</t>
  </si>
  <si>
    <t xml:space="preserve">Contribution Summary</t>
  </si>
  <si>
    <t xml:space="preserve">Main achievement</t>
  </si>
  <si>
    <t xml:space="preserve">Completed the stakeholder-confirmed SRS covering problem analysis, requirements, feasibility study and risk register, plus initial GitHub and Supabase setup.</t>
  </si>
  <si>
    <t xml:space="preserve">Contribution entries</t>
  </si>
  <si>
    <t xml:space="preserve">Main challenge</t>
  </si>
  <si>
    <t xml:space="preserve">Deciding the payment approach — full online payment was descoped to cash-on-collection after feasibility review, which required updating the requirements change log.</t>
  </si>
  <si>
    <t xml:space="preserve">Verified entries</t>
  </si>
  <si>
    <t xml:space="preserve">Next planned activity</t>
  </si>
  <si>
    <t xml:space="preserve">Push actual project files (SRS, MPP, Excel tracker, mobile/web code skeletons) into GitHub with commits from every group member, then begin system design (UML/ERD).</t>
  </si>
  <si>
    <t xml:space="preserve">Unverified entries</t>
  </si>
  <si>
    <t xml:space="preserve">Stakeholder engagements</t>
  </si>
  <si>
    <t xml:space="preserve">Phase 2 Snapshot</t>
  </si>
  <si>
    <t xml:space="preserve">Unit 3 / Phase 2</t>
  </si>
  <si>
    <t xml:space="preserve">27 Aug 2026 – 23 Sep 2026</t>
  </si>
  <si>
    <t xml:space="preserve">Completed System Architecture, Use Case Diagram, four Sequence Diagrams, ERD, Flutter &amp; ASP.NET interface prototypes, and Navigation Flow — all traceable to Phase 1 requirements.</t>
  </si>
  <si>
    <t xml:space="preserve">Keeping the Use Case Diagram's include/extend/generalization relationships meaningful rather than decorative.</t>
  </si>
  <si>
    <t xml:space="preserve">Begin Phase 3: Supabase backend configuration and core feature development (Sprint 1).</t>
  </si>
  <si>
    <t xml:space="preserve">Task Progress Tracker</t>
  </si>
  <si>
    <t xml:space="preserve">Task ID</t>
  </si>
  <si>
    <t xml:space="preserve">Reporting Phase</t>
  </si>
  <si>
    <t xml:space="preserve">Activity</t>
  </si>
  <si>
    <t xml:space="preserve">Task Description</t>
  </si>
  <si>
    <t xml:space="preserve">Assigned Student(s)</t>
  </si>
  <si>
    <t xml:space="preserve">Start Date</t>
  </si>
  <si>
    <t xml:space="preserve">Due Date</t>
  </si>
  <si>
    <t xml:space="preserve">Status</t>
  </si>
  <si>
    <t xml:space="preserve">% Complete</t>
  </si>
  <si>
    <t xml:space="preserve">Evidence / Link</t>
  </si>
  <si>
    <t xml:space="preserve">Verified by Group</t>
  </si>
  <si>
    <t xml:space="preserve">Lecturer Comment</t>
  </si>
  <si>
    <t xml:space="preserve">Progress Flag</t>
  </si>
  <si>
    <t xml:space="preserve">U1-01</t>
  </si>
  <si>
    <t xml:space="preserve">Activity 1.1</t>
  </si>
  <si>
    <t xml:space="preserve">Identify and confirm the external stakeholder</t>
  </si>
  <si>
    <t xml:space="preserve">Portia Nkotseng Sefatsa , Charmaine Mogotsi</t>
  </si>
  <si>
    <t xml:space="preserve">SRS Appendix A/B — stakeholder identification and confirmation notes</t>
  </si>
  <si>
    <t xml:space="preserve">Yes</t>
  </si>
  <si>
    <t xml:space="preserve">U1-02</t>
  </si>
  <si>
    <t xml:space="preserve">Document the current process and problem</t>
  </si>
  <si>
    <t xml:space="preserve">Neo Lekhelebana , Tshepang Morake </t>
  </si>
  <si>
    <t xml:space="preserve">SRS Sections 3 &amp; 9 — Problem Statement and Current Process</t>
  </si>
  <si>
    <t xml:space="preserve">U1-03</t>
  </si>
  <si>
    <t xml:space="preserve">Define the project aim, objectives and scope</t>
  </si>
  <si>
    <t xml:space="preserve">Hlayiseka Matsimbi , Neo Lekhelebana</t>
  </si>
  <si>
    <t xml:space="preserve">SRS Sections 4–5 — Aim, Objectives and Scope</t>
  </si>
  <si>
    <t xml:space="preserve">U1-04</t>
  </si>
  <si>
    <t xml:space="preserve">Activity 1.2</t>
  </si>
  <si>
    <t xml:space="preserve">Prepare stakeholder interview questions</t>
  </si>
  <si>
    <t xml:space="preserve">SRS Appendix A — interview questions</t>
  </si>
  <si>
    <t xml:space="preserve">U1-05</t>
  </si>
  <si>
    <t xml:space="preserve">Conduct and document the stakeholder interview</t>
  </si>
  <si>
    <t xml:space="preserve">All Group Members</t>
  </si>
  <si>
    <t xml:space="preserve">SRS Appendix A — Interview Notes</t>
  </si>
  <si>
    <t xml:space="preserve">U1-06</t>
  </si>
  <si>
    <t xml:space="preserve">Activity 1.3</t>
  </si>
  <si>
    <t xml:space="preserve">Compile the initial SRS</t>
  </si>
  <si>
    <t xml:space="preserve">docs/ folder in GitHub repository — SRS document</t>
  </si>
  <si>
    <t xml:space="preserve">U1-07</t>
  </si>
  <si>
    <t xml:space="preserve">Create the initial Microsoft Project schedule</t>
  </si>
  <si>
    <t xml:space="preserve">Tshepang Morake , Hlayiseka Matsimbi</t>
  </si>
  <si>
    <t xml:space="preserve">project-management/ folder in GitHub repository — MS Project file</t>
  </si>
  <si>
    <t xml:space="preserve">U1-08</t>
  </si>
  <si>
    <t xml:space="preserve">Create and configure the GitHub repository</t>
  </si>
  <si>
    <t xml:space="preserve">Neo Lekhelebana , Charmaine Mogotsi</t>
  </si>
  <si>
    <t xml:space="preserve">https://github.com/Lekhelebana/WIL-Project</t>
  </si>
  <si>
    <t xml:space="preserve">U1-09</t>
  </si>
  <si>
    <t xml:space="preserve">Create the initial Supabase project</t>
  </si>
  <si>
    <t xml:space="preserve">Portia Nkotseng Sefatsa , Tshepang Morake</t>
  </si>
  <si>
    <t xml:space="preserve">https://supabase.com/dashboard/project/qmcwfnupigrpkmtommcd</t>
  </si>
  <si>
    <t xml:space="preserve">U1-10</t>
  </si>
  <si>
    <t xml:space="preserve">Complete the progress report and contribution record</t>
  </si>
  <si>
    <t xml:space="preserve">Hlayiseka Matsimbi</t>
  </si>
  <si>
    <t xml:space="preserve">ITC327W_Project_Progress_Tracker_2026.xlsx (this workbook)</t>
  </si>
  <si>
    <t xml:space="preserve">U1-11</t>
  </si>
  <si>
    <t xml:space="preserve">Complete the Unit 1 group reflection</t>
  </si>
  <si>
    <t xml:space="preserve">Group Reflection sheet (this workbook)</t>
  </si>
  <si>
    <t xml:space="preserve">U2-01</t>
  </si>
  <si>
    <t xml:space="preserve">Activity 2.1</t>
  </si>
  <si>
    <t xml:space="preserve">Design the System Architecture Diagram showing Flutter, ASP.NET and Supabase as one integrated system</t>
  </si>
  <si>
    <t xml:space="preserve">Neo Lekhelebana</t>
  </si>
  <si>
    <t xml:space="preserve">Nama_Nameng_System_Architecture.drawio</t>
  </si>
  <si>
    <t xml:space="preserve">U2-02</t>
  </si>
  <si>
    <t xml:space="preserve">Design the Use Case Diagram (actors, system boundary, include/extend/generalization)</t>
  </si>
  <si>
    <t xml:space="preserve">Lesedi Ramolahloane</t>
  </si>
  <si>
    <t xml:space="preserve">Nama_Nameng_Use_Case_Diagram.drawio</t>
  </si>
  <si>
    <t xml:space="preserve">U2-03</t>
  </si>
  <si>
    <t xml:space="preserve">Design Sequence Diagrams for Guest, Customer, Staff and Manager flows</t>
  </si>
  <si>
    <t xml:space="preserve">Portia Nkotseng Sefatsa</t>
  </si>
  <si>
    <t xml:space="preserve">1-Guest / 2-Customer / 3-Staff / 4-Manager sequence diagrams (.drawio/.pdf)</t>
  </si>
  <si>
    <t xml:space="preserve">U2-04</t>
  </si>
  <si>
    <t xml:space="preserve">Design the ERD — entities, attributes, PK/FK, relationships and cardinality</t>
  </si>
  <si>
    <t xml:space="preserve">Tshepang Morake</t>
  </si>
  <si>
    <t xml:space="preserve">ERD.jpeg</t>
  </si>
  <si>
    <t xml:space="preserve">U2-05</t>
  </si>
  <si>
    <t xml:space="preserve">Design Supabase row-level security and access control rules per role</t>
  </si>
  <si>
    <t xml:space="preserve">System Architecture diagram — RLS layer</t>
  </si>
  <si>
    <t xml:space="preserve">U2-06</t>
  </si>
  <si>
    <t xml:space="preserve">Activity 2.2</t>
  </si>
  <si>
    <t xml:space="preserve">Prototype Flutter mobile interfaces — customer app and staff/manager app</t>
  </si>
  <si>
    <t xml:space="preserve">Charmaine Mogotsi</t>
  </si>
  <si>
    <t xml:space="preserve">Final_Flutter_Customer.png, Staff_App.png</t>
  </si>
  <si>
    <t xml:space="preserve">U2-07</t>
  </si>
  <si>
    <t xml:space="preserve">Prototype ASP.NET web interfaces — customer web app and staff dashboard</t>
  </si>
  <si>
    <t xml:space="preserve">Customer_Web_App.png, Nama_Nameng_-_Staff_App_Prototype.png</t>
  </si>
  <si>
    <t xml:space="preserve">U2-08</t>
  </si>
  <si>
    <t xml:space="preserve">Design the Navigation Flow diagram across Flutter and ASP.NET screens</t>
  </si>
  <si>
    <t xml:space="preserve">Nama_Nameng_Navigation_Flow.drawio</t>
  </si>
  <si>
    <t xml:space="preserve">U2-09</t>
  </si>
  <si>
    <t xml:space="preserve">Activity 2.3</t>
  </si>
  <si>
    <t xml:space="preserve">Review architecture and interface designs with Doja (stakeholder) and log feedback</t>
  </si>
  <si>
    <t xml:space="preserve">SRS Appendix B / D — updated stakeholder evidence</t>
  </si>
  <si>
    <t xml:space="preserve">U2-10</t>
  </si>
  <si>
    <t xml:space="preserve">Push design artefacts to GitHub with branch management</t>
  </si>
  <si>
    <t xml:space="preserve">github.com/Lekhelebana/WIL-Project</t>
  </si>
  <si>
    <t xml:space="preserve">U2-11</t>
  </si>
  <si>
    <t xml:space="preserve">Update Microsoft Project plan for Phase 2 completion and Phase 3 start</t>
  </si>
  <si>
    <t xml:space="preserve">NAMA_NAMENG_MANAGEMENT_PLAN.mpp</t>
  </si>
  <si>
    <t xml:space="preserve">U2-12</t>
  </si>
  <si>
    <t xml:space="preserve">Complete Phase 2 progress report and group reflection</t>
  </si>
  <si>
    <t xml:space="preserve">Individual Contribution Record</t>
  </si>
  <si>
    <t xml:space="preserve">Student Name</t>
  </si>
  <si>
    <t xml:space="preserve">Student Number</t>
  </si>
  <si>
    <t xml:space="preserve">Assigned Responsibility</t>
  </si>
  <si>
    <t xml:space="preserve">Work Personally Completed</t>
  </si>
  <si>
    <t xml:space="preserve">Date Completed</t>
  </si>
  <si>
    <t xml:space="preserve">Hours Spent</t>
  </si>
  <si>
    <t xml:space="preserve">Verification Date</t>
  </si>
  <si>
    <t xml:space="preserve">Notes</t>
  </si>
  <si>
    <t xml:space="preserve">-Activity 1.1
-Activity 1.2
-Activity 1.3</t>
  </si>
  <si>
    <t xml:space="preserve">-Create the inital supabase setup
-Define the project aim, objectives and scope</t>
  </si>
  <si>
    <t xml:space="preserve">Documentation and  Supabase setups.</t>
  </si>
  <si>
    <t xml:space="preserve">18/08/2026</t>
  </si>
  <si>
    <t xml:space="preserve">3 Hours</t>
  </si>
  <si>
    <t xml:space="preserve">Supabase dashboard (link in Task Progress U1-09); SRS Sections 4–5</t>
  </si>
  <si>
    <t xml:space="preserve">25/08/2026</t>
  </si>
  <si>
    <t xml:space="preserve">-Activity 1.1
-Activity 1.3</t>
  </si>
  <si>
    <t xml:space="preserve">-Create inital Supabase setup
-Microsoft Project Plan</t>
  </si>
  <si>
    <t xml:space="preserve">Microsoft project plan and initial Supabase setup.</t>
  </si>
  <si>
    <t xml:space="preserve">24/08/2026</t>
  </si>
  <si>
    <t xml:space="preserve">2 Hours</t>
  </si>
  <si>
    <t xml:space="preserve">project-management/ folder in GitHub repo (MPP file); Supabase dashboard link</t>
  </si>
  <si>
    <t xml:space="preserve">Portia Sefatsa</t>
  </si>
  <si>
    <t xml:space="preserve">-Activity 1.1
-Activity 1.2
</t>
  </si>
  <si>
    <t xml:space="preserve">-Project Risk Analysis
-Create the initial Supabase project</t>
  </si>
  <si>
    <t xml:space="preserve">Initial Supabase Setup and project risk anaylsis.</t>
  </si>
  <si>
    <t xml:space="preserve">4 Hours</t>
  </si>
  <si>
    <t xml:space="preserve">SRS Project Risk Register section; Supabase dashboard link</t>
  </si>
  <si>
    <t xml:space="preserve">-Prepare stakeholder interview questions
 -Create and configure the GitHub repository</t>
  </si>
  <si>
    <t xml:space="preserve">configuring the Github repository and stakehlder questions preparations.</t>
  </si>
  <si>
    <t xml:space="preserve">5 hours</t>
  </si>
  <si>
    <t xml:space="preserve">GitHub repo commit history and README; SRS Appendix A interview questions</t>
  </si>
  <si>
    <t xml:space="preserve">-Complete the progress report and contribution record
-Define the project aim, objectives and scope</t>
  </si>
  <si>
    <t xml:space="preserve">Project scope triple constraints documentation and progress report contribution.</t>
  </si>
  <si>
    <t xml:space="preserve">26/08/2026</t>
  </si>
  <si>
    <t xml:space="preserve">5 Hours</t>
  </si>
  <si>
    <t xml:space="preserve">This workbook (Progress Tracker); SRS Section 5 Project Scope</t>
  </si>
  <si>
    <t xml:space="preserve">-Activity 2.1 (U2-01)
-Activity 2.1 (U2-05)</t>
  </si>
  <si>
    <t xml:space="preserve">-Design the System Architecture Diagram (Flutter, ASP.NET, Supabase)
-Design Supabase row-level security and access control rules per role</t>
  </si>
  <si>
    <t xml:space="preserve">System architecture diagram and Supabase RLS / access-control design.</t>
  </si>
  <si>
    <t xml:space="preserve">12/09/2026</t>
  </si>
  <si>
    <t xml:space="preserve">6 Hours</t>
  </si>
  <si>
    <t xml:space="preserve">Nama_Nameng_System_Architecture.drawio; System Architecture diagram — RLS layer</t>
  </si>
  <si>
    <t xml:space="preserve">23/09/2026</t>
  </si>
  <si>
    <t xml:space="preserve">-Activity 2.1 (U2-02)
-Activity 2.2 (U2-08)</t>
  </si>
  <si>
    <t xml:space="preserve">-Design the Use Case Diagram (actors, system boundary, include/extend/generalization)
-Design the Navigation Flow diagram across Flutter and ASP.NET screens</t>
  </si>
  <si>
    <t xml:space="preserve">Use case diagram and navigation flow diagrams for the Flutter and ASP.NET screens.</t>
  </si>
  <si>
    <t xml:space="preserve">21/09/2026</t>
  </si>
  <si>
    <t xml:space="preserve">Nama_Nameng_Use_Case_Diagram.drawio; Nama_Nameng_Navigation_Flow.drawio</t>
  </si>
  <si>
    <t xml:space="preserve">-Activity 2.1 (U2-03)
-Activity 2.3 (U2-09)</t>
  </si>
  <si>
    <t xml:space="preserve">-Design Sequence Diagrams for Guest, Customer, Staff and Manager flows
-Review architecture and interface designs with Doja (stakeholder) and log feedback</t>
  </si>
  <si>
    <t xml:space="preserve">Four sequence diagrams (Guest, Customer, Staff, Manager) and the stakeholder design review session with Doja.</t>
  </si>
  <si>
    <t xml:space="preserve">22/09/2026</t>
  </si>
  <si>
    <t xml:space="preserve">1-Guest / 2-Customer / 3-Staff / 4-Manager sequence diagrams; SRS Section 18.4 Stakeholder Design Review</t>
  </si>
  <si>
    <t xml:space="preserve">-Activity 2.1 (U2-04)
-Activity 2.3 (U2-11)</t>
  </si>
  <si>
    <t xml:space="preserve">-Design the ERD — entities, attributes, PK/FK, relationships and cardinality
-Update Microsoft Project plan for Phase 2 completion and Phase 3 start</t>
  </si>
  <si>
    <t xml:space="preserve">Entity Relationship Diagram and the updated Microsoft Project schedule.</t>
  </si>
  <si>
    <t xml:space="preserve">ERD.jpeg; NAMA_NAMENG_MANAGEMENT_PLAN.mpp</t>
  </si>
  <si>
    <t xml:space="preserve">-Activity 2.2 (U2-06)
-Activity 2.3 (U2-10)</t>
  </si>
  <si>
    <t xml:space="preserve">-Prototype Flutter mobile interfaces — customer app and staff/manager app
-Push design artefacts to GitHub with branch management</t>
  </si>
  <si>
    <t xml:space="preserve">Flutter customer and staff/manager interface prototypes; pushed Phase 2 design artefacts to GitHub.</t>
  </si>
  <si>
    <t xml:space="preserve">Final_Flutter_Customer.png, Staff_App.png; github.com/Lekhelebana/WIL-Project</t>
  </si>
  <si>
    <t xml:space="preserve">-Activity 2.2 (U2-07)
-Activity 2.3 (U2-12)</t>
  </si>
  <si>
    <t xml:space="preserve">-Prototype ASP.NET web interfaces — customer web app and staff dashboard
-Complete Phase 2 progress report and group reflection</t>
  </si>
  <si>
    <t xml:space="preserve">ASP.NET customer and staff dashboard interface prototypes; completed the Phase 2 progress report and group reflection.</t>
  </si>
  <si>
    <t xml:space="preserve">Customer_Web_App.png, Nama_Nameng_-_Staff_App_Prototype.png; this workbook (Progress Tracker)</t>
  </si>
  <si>
    <t xml:space="preserve">221000484</t>
  </si>
  <si>
    <t xml:space="preserve">Activity 2.1, 2.3</t>
  </si>
  <si>
    <t xml:space="preserve">System Architecture Diagram; Supabase RLS design; GitHub branch management</t>
  </si>
  <si>
    <t xml:space="preserve">Modelled the Flutter/ASP.NET/Supabase architecture in draw.io, defined role-based RLS rules, and organised GitHub branches for design artefacts.</t>
  </si>
  <si>
    <t xml:space="preserve">2026-09-12</t>
  </si>
  <si>
    <t xml:space="preserve">Nama_Nameng_System_Architecture.drawio; GitHub commit history</t>
  </si>
  <si>
    <t xml:space="preserve">221023182</t>
  </si>
  <si>
    <t xml:space="preserve">Activity 2.1, 2.2</t>
  </si>
  <si>
    <t xml:space="preserve">Use Case Diagram; Flutter interface prototyping</t>
  </si>
  <si>
    <t xml:space="preserve">Built the Use Case Diagram (actors, include/extend/generalization) and designed the Flutter customer and staff app screens.</t>
  </si>
  <si>
    <t xml:space="preserve">2026-09-18</t>
  </si>
  <si>
    <t xml:space="preserve">7 Hours</t>
  </si>
  <si>
    <t xml:space="preserve">Nama_Nameng_Use_Case_Diagram.drawio; Final_Flutter_Customer.png; Staff_App.png</t>
  </si>
  <si>
    <t xml:space="preserve">220007164</t>
  </si>
  <si>
    <t xml:space="preserve">Sequence Diagrams (Guest/Customer); ERD; ASP.NET interface prototyping</t>
  </si>
  <si>
    <t xml:space="preserve">Drafted the Guest and Customer sequence diagrams, contributed to the ERD, and designed the ASP.NET customer web screens.</t>
  </si>
  <si>
    <t xml:space="preserve">8 Hours</t>
  </si>
  <si>
    <t xml:space="preserve">1-Guest / 2-Customer sequence diagrams; ERD.jpeg; Customer_Web_App.png</t>
  </si>
  <si>
    <t xml:space="preserve">222075924</t>
  </si>
  <si>
    <t xml:space="preserve">Activity 2.1, 2.2, 2.3</t>
  </si>
  <si>
    <t xml:space="preserve">ERD; ASP.NET staff dashboard prototyping; Microsoft Project update</t>
  </si>
  <si>
    <t xml:space="preserve">Finalised the ERD cardinalities, designed the ASP.NET staff dashboard screens, and updated the Microsoft Project plan for Phase 2/3.</t>
  </si>
  <si>
    <t xml:space="preserve">2026-09-22</t>
  </si>
  <si>
    <t xml:space="preserve">ERD.jpeg; Nama_Nameng_-_Staff_App_Prototype.png; NAMA_NAMENG_MANAGEMENT_PLAN.mpp</t>
  </si>
  <si>
    <t xml:space="preserve">221027400</t>
  </si>
  <si>
    <t xml:space="preserve">Sequence Diagrams (Staff/Manager); Navigation Flow diagram; progress report</t>
  </si>
  <si>
    <t xml:space="preserve">Drafted the Staff and Manager sequence diagrams, built the Navigation Flow diagram, and compiled the Phase 2 progress report.</t>
  </si>
  <si>
    <t xml:space="preserve">2026-09-23</t>
  </si>
  <si>
    <t xml:space="preserve">3-Staff / 4-Manager sequence diagrams; Nama_Nameng_Navigation_Flow.drawio; this workbook</t>
  </si>
  <si>
    <t xml:space="preserve">Challenges and Corrective Actions</t>
  </si>
  <si>
    <t xml:space="preserve">Date Identified</t>
  </si>
  <si>
    <t xml:space="preserve">Challenge</t>
  </si>
  <si>
    <t xml:space="preserve">Effect on Progress</t>
  </si>
  <si>
    <t xml:space="preserve">Corrective Action</t>
  </si>
  <si>
    <t xml:space="preserve">Responsible Student</t>
  </si>
  <si>
    <t xml:space="preserve">Target Date</t>
  </si>
  <si>
    <t xml:space="preserve">23/08/2026</t>
  </si>
  <si>
    <t xml:space="preserve">Online payment </t>
  </si>
  <si>
    <t xml:space="preserve">Uncertainty on the features to be included and project scope</t>
  </si>
  <si>
    <t xml:space="preserve">Attempt using open source API</t>
  </si>
  <si>
    <t xml:space="preserve">28/09/2026</t>
  </si>
  <si>
    <t xml:space="preserve">Phase Progress Summary</t>
  </si>
  <si>
    <t xml:space="preserve">Summary Information</t>
  </si>
  <si>
    <t xml:space="preserve">Phase Completion Checklist</t>
  </si>
  <si>
    <t xml:space="preserve">Initial or updated SRS completed</t>
  </si>
  <si>
    <t xml:space="preserve">Progress report updated</t>
  </si>
  <si>
    <t xml:space="preserve">Overall phase status</t>
  </si>
  <si>
    <t xml:space="preserve">Individual contributions recorded</t>
  </si>
  <si>
    <t xml:space="preserve">What was completed during this phase?</t>
  </si>
  <si>
    <t xml:space="preserve">Detailed SRS, project scope, stakeholder requirements, supabase setup and github configuration.</t>
  </si>
  <si>
    <t xml:space="preserve">Stakeholder engagement recorded</t>
  </si>
  <si>
    <t xml:space="preserve">What remains incomplete?</t>
  </si>
  <si>
    <t xml:space="preserve">None</t>
  </si>
  <si>
    <t xml:space="preserve">Challenges and actions updated</t>
  </si>
  <si>
    <t xml:space="preserve">Why is it incomplete?</t>
  </si>
  <si>
    <t xml:space="preserve">N/A</t>
  </si>
  <si>
    <t xml:space="preserve">Group reflection completed</t>
  </si>
  <si>
    <t xml:space="preserve">Which contributions were particularly important?</t>
  </si>
  <si>
    <t xml:space="preserve">Supabase setup,Github configuration and progress tracker.</t>
  </si>
  <si>
    <t xml:space="preserve">Microsoft Project updated</t>
  </si>
  <si>
    <t xml:space="preserve">Were there participation concerns?</t>
  </si>
  <si>
    <t xml:space="preserve">No</t>
  </si>
  <si>
    <t xml:space="preserve">GitHub evidence available</t>
  </si>
  <si>
    <t xml:space="preserve">What will the group improve in the next phase?</t>
  </si>
  <si>
    <t xml:space="preserve">Time management, strategic WBS and innovative </t>
  </si>
  <si>
    <t xml:space="preserve">Confidential peer check completed</t>
  </si>
  <si>
    <t xml:space="preserve">Main priority for the next phase</t>
  </si>
  <si>
    <t xml:space="preserve">Continue according to the project project plan and work on a much faster pace than the current phase.</t>
  </si>
  <si>
    <t xml:space="preserve">Phase 2 Progress Summary</t>
  </si>
  <si>
    <t xml:space="preserve">System Architecture Diagram complete (Flutter+ASP.NET+Supabase)</t>
  </si>
  <si>
    <t xml:space="preserve">Use Case Diagram complete (actors, system boundary, relationships)</t>
  </si>
  <si>
    <t xml:space="preserve">At least two Sequence Diagrams complete</t>
  </si>
  <si>
    <t xml:space="preserve">System Architecture Diagram, Use Case Diagram, four Sequence Diagrams, ERD, Flutter &amp; ASP.NET interface designs, Navigation Flow diagram.</t>
  </si>
  <si>
    <t xml:space="preserve">ERD complete (entities, keys, relationships, cardinality)</t>
  </si>
  <si>
    <t xml:space="preserve">Flutter interface designs complete</t>
  </si>
  <si>
    <t xml:space="preserve">ASP.NET interface designs complete</t>
  </si>
  <si>
    <t xml:space="preserve">Which contributions were partially completed?</t>
  </si>
  <si>
    <t xml:space="preserve">None — all Phase 2 artefacts completed and cross-checked against the Use Case Diagram</t>
  </si>
  <si>
    <t xml:space="preserve">Navigation Flow diagram complete</t>
  </si>
  <si>
    <t xml:space="preserve">Stakeholder feedback recorded</t>
  </si>
  <si>
    <t xml:space="preserve">Start the Supabase real-time sync technical spike (R-03) in the first week of Phase 3</t>
  </si>
  <si>
    <t xml:space="preserve">Begin Phase 3 development — Supabase backend configuration and Sprint 1 core features</t>
  </si>
  <si>
    <t xml:space="preserve">Progress Tracker current</t>
  </si>
  <si>
    <t xml:space="preserve">Stakeholder Engagement Record</t>
  </si>
  <si>
    <t xml:space="preserve">Date</t>
  </si>
  <si>
    <t xml:space="preserve">Type of Engagement</t>
  </si>
  <si>
    <t xml:space="preserve">Students Present</t>
  </si>
  <si>
    <t xml:space="preserve">Stakeholder Present / Role</t>
  </si>
  <si>
    <t xml:space="preserve">Main Findings</t>
  </si>
  <si>
    <t xml:space="preserve">Action Required</t>
  </si>
  <si>
    <t xml:space="preserve">Site Visit</t>
  </si>
  <si>
    <t xml:space="preserve">Discover a stakeholder</t>
  </si>
  <si>
    <t xml:space="preserve">All Group Member</t>
  </si>
  <si>
    <t xml:space="preserve">Owner</t>
  </si>
  <si>
    <t xml:space="preserve">Problems of the organisation</t>
  </si>
  <si>
    <t xml:space="preserve">address the solution</t>
  </si>
  <si>
    <t xml:space="preserve">SRS Appendix C — Site Visit / Photographic evidence</t>
  </si>
  <si>
    <t xml:space="preserve">Meeting</t>
  </si>
  <si>
    <t xml:space="preserve">Engagement wiht Stakeholder</t>
  </si>
  <si>
    <t xml:space="preserve">Owner &amp; Staff</t>
  </si>
  <si>
    <t xml:space="preserve">Scope Requirements</t>
  </si>
  <si>
    <t xml:space="preserve">Gather Scope Requirements</t>
  </si>
  <si>
    <t xml:space="preserve">SRS Appendix B — Requirements Confirmation Evidence</t>
  </si>
  <si>
    <t xml:space="preserve">Design Review Meeting</t>
  </si>
  <si>
    <t xml:space="preserve">Walk Doja through the system architecture, use case diagram and interface prototypes</t>
  </si>
  <si>
    <t xml:space="preserve">Screen designs and order flow confirmed as matching how the business actually operates</t>
  </si>
  <si>
    <t xml:space="preserve">Minor wording changes to menu categories</t>
  </si>
  <si>
    <t xml:space="preserve">SRS Appendix D — updated communication log</t>
  </si>
  <si>
    <t xml:space="preserve">Reflection Information</t>
  </si>
  <si>
    <t xml:space="preserve">Reflection Guidance</t>
  </si>
  <si>
    <t xml:space="preserve">Length</t>
  </si>
  <si>
    <t xml:space="preserve">Approximately 300–400 words in total.</t>
  </si>
  <si>
    <t xml:space="preserve">Nama Nameng</t>
  </si>
  <si>
    <t xml:space="preserve">Focus</t>
  </si>
  <si>
    <t xml:space="preserve">Discuss the group’s actual experience, not the activity instructions.</t>
  </si>
  <si>
    <t xml:space="preserve">Most important learning from this phase</t>
  </si>
  <si>
    <t xml:space="preserve">That requirements only become real once they are checked against an actual stakeholder — several assumptions we made before meeting Doja turned out to be wrong, particularly around online payment.</t>
  </si>
  <si>
    <t xml:space="preserve">Honesty</t>
  </si>
  <si>
    <t xml:space="preserve">Identifying a genuine challenge will not disadvantage the group when an improvement action is provided.</t>
  </si>
  <si>
    <t xml:space="preserve">What went well and why?</t>
  </si>
  <si>
    <t xml:space="preserve">Stakeholder engagement went well because we prepared interview questions in advance and visited the premises directly, which gave us specific, usable detail for the problem statement rather than guesses.</t>
  </si>
  <si>
    <t xml:space="preserve">Evidence</t>
  </si>
  <si>
    <t xml:space="preserve">Ensure that claims about participation agree with the contribution record, Microsoft Project and GitHub.</t>
  </si>
  <si>
    <t xml:space="preserve">What was difficult and why?</t>
  </si>
  <si>
    <t xml:space="preserve">Agreeing on the exact scope for payment handling was difficult, since the stakeholder was open to card payment but a full gateway was not realistic for a semester prototype — we resolved this through the feasibility study and logged it as a scope change.</t>
  </si>
  <si>
    <t xml:space="preserve">Research use</t>
  </si>
  <si>
    <t xml:space="preserve">Student work may only be used for research after the required ethical approval and consent processes.</t>
  </si>
  <si>
    <t xml:space="preserve">How were tasks divided among members?</t>
  </si>
  <si>
    <t xml:space="preserve">Tasks were divided by activity (stakeholder engagement, documentation, Supabase setup, GitHub configuration, Microsoft Project) with each pair or individual owning a clear deliverable, tracked in this workbook.</t>
  </si>
  <si>
    <t xml:space="preserve">Did all members contribute fairly? Explain.</t>
  </si>
  <si>
    <t xml:space="preserve">Yes — each member completed at least one substantive deliverable (interviews, SRS sections, Supabase setup, GitHub configuration, or the progress report), verified by the group against the evidence in the Individual Contributions sheet.</t>
  </si>
  <si>
    <t xml:space="preserve">How did the group handle disagreements or delays?</t>
  </si>
  <si>
    <t xml:space="preserve">Minor scheduling friction around the stakeholder's trading hours was resolved by planning visits around off-peak times; no major disagreements arose in this phase.</t>
  </si>
  <si>
    <t xml:space="preserve">What did the group learn from the stakeholder?</t>
  </si>
  <si>
    <t xml:space="preserve">That the business runs almost entirely on WhatsApp and word-of-mouth, and that queuing and order-accuracy — not lack of interest in technology — are the real pain points driving the need for this system.</t>
  </si>
  <si>
    <t xml:space="preserve">Improvement action 1 for the next phase</t>
  </si>
  <si>
    <t xml:space="preserve">Push all project artefacts (code, MPP, tracker) into GitHub with commits from every member, not just one.</t>
  </si>
  <si>
    <t xml:space="preserve">Improvement action 2 for the next phase</t>
  </si>
  <si>
    <t xml:space="preserve">Start system design (UML/ERD) earlier in Phase 2 to protect schedule feasibility, given R-07 is our highest-rated risk.</t>
  </si>
  <si>
    <t xml:space="preserve">Priority for the next phase</t>
  </si>
  <si>
    <t xml:space="preserve">Validate the Flutter–ASP.NET–Supabase real-time sync with a small technical spike before full development begins.</t>
  </si>
  <si>
    <t xml:space="preserve">Phase 2 Group Reflection</t>
  </si>
  <si>
    <t xml:space="preserve">That UML relationships (include/extend/generalization) only add value when they reflect something real in the system — we removed several relationships that were only there to prove we knew the notation.</t>
  </si>
  <si>
    <t xml:space="preserve">The Flutter and ASP.NET interface designs stayed visually and functionally consistent because we built both from the same use case list and navigation flow.</t>
  </si>
  <si>
    <t xml:space="preserve">Deciding where Manager-only functionality should sit in the Use Case Diagram versus the Navigation Flow, resolved by using generalization (Manager isa Staff) consistently across both artefacts.</t>
  </si>
  <si>
    <t xml:space="preserve">Split by design artefact — architecture/security, use case/interfaces, sequence diagrams/ERD, ASP.NET prototyping/Project plan, navigation flow/reporting.</t>
  </si>
  <si>
    <t xml:space="preserve">Did all members contribute fairly?</t>
  </si>
  <si>
    <t xml:space="preserve">Yes — each member owned at least one design artefact end to end, verified by the group.</t>
  </si>
  <si>
    <t xml:space="preserve">How did the group handle disagreements?</t>
  </si>
  <si>
    <t xml:space="preserve">Reviewed conflicting design choices against the SRS-confirmed requirements and the stakeholder review meeting notes.</t>
  </si>
  <si>
    <t xml:space="preserve">What did the group learn from this phase?</t>
  </si>
  <si>
    <t xml:space="preserve">That designing all artefacts (architecture, use cases, sequence diagrams, ERD, interfaces, navigation) against the same requirement set keeps them traceable to each other, exactly as the Phase 2 checkpoint requires.</t>
  </si>
  <si>
    <t xml:space="preserve">Run the Supabase real-time sync technical spike (R-03) before full Sprint 1 development begins</t>
  </si>
  <si>
    <t xml:space="preserve">Commit code to GitHub incrementally per feature branch, not in large end-of-sprint batches</t>
  </si>
  <si>
    <t xml:space="preserve">Configure the Supabase backend and begin Sprint 1 core feature development on schedule</t>
  </si>
</sst>
</file>

<file path=xl/styles.xml><?xml version="1.0" encoding="utf-8"?>
<styleSheet xmlns="http://schemas.openxmlformats.org/spreadsheetml/2006/main">
  <numFmts count="7">
    <numFmt numFmtId="164" formatCode="General"/>
    <numFmt numFmtId="165" formatCode="General"/>
    <numFmt numFmtId="166" formatCode="0.0%"/>
    <numFmt numFmtId="167" formatCode="yyyy\-mm\-dd"/>
    <numFmt numFmtId="168" formatCode="0\%"/>
    <numFmt numFmtId="169" formatCode="yyyy\-mm\-dd\ h:mm:ss"/>
    <numFmt numFmtId="170" formatCode="0.0"/>
  </numFmts>
  <fonts count="13">
    <font>
      <sz val="11"/>
      <name val="Calibri"/>
      <family val="0"/>
      <charset val="134"/>
    </font>
    <font>
      <sz val="10"/>
      <name val="Arial"/>
      <family val="0"/>
    </font>
    <font>
      <sz val="10"/>
      <name val="Arial"/>
      <family val="0"/>
    </font>
    <font>
      <sz val="10"/>
      <name val="Arial"/>
      <family val="0"/>
    </font>
    <font>
      <b val="true"/>
      <sz val="16"/>
      <color rgb="FFFFFFFF"/>
      <name val="Calibri"/>
      <family val="0"/>
      <charset val="134"/>
    </font>
    <font>
      <i val="true"/>
      <sz val="11"/>
      <color rgb="FF1F2937"/>
      <name val="Calibri"/>
      <family val="0"/>
      <charset val="134"/>
    </font>
    <font>
      <b val="true"/>
      <sz val="11"/>
      <color rgb="FFFFFFFF"/>
      <name val="Calibri"/>
      <family val="0"/>
      <charset val="134"/>
    </font>
    <font>
      <b val="true"/>
      <sz val="11"/>
      <color rgb="FF0B2E59"/>
      <name val="Calibri"/>
      <family val="0"/>
      <charset val="134"/>
    </font>
    <font>
      <sz val="11"/>
      <color rgb="FF1F2937"/>
      <name val="Calibri"/>
      <family val="0"/>
      <charset val="134"/>
    </font>
    <font>
      <b val="true"/>
      <sz val="18"/>
      <color rgb="FF000000"/>
      <name val="Calibri"/>
      <family val="2"/>
    </font>
    <font>
      <sz val="10"/>
      <color rgb="FF000000"/>
      <name val="Calibri"/>
      <family val="2"/>
    </font>
    <font>
      <sz val="11.25"/>
      <color rgb="FF0F1115"/>
      <name val="Segoe UI"/>
      <family val="0"/>
      <charset val="134"/>
    </font>
    <font>
      <u val="single"/>
      <sz val="11"/>
      <color rgb="FF0000FF"/>
      <name val="Calibri"/>
      <family val="0"/>
      <charset val="134"/>
    </font>
  </fonts>
  <fills count="7">
    <fill>
      <patternFill patternType="none"/>
    </fill>
    <fill>
      <patternFill patternType="gray125"/>
    </fill>
    <fill>
      <patternFill patternType="solid">
        <fgColor rgb="FF0B2E59"/>
        <bgColor rgb="FF1F2937"/>
      </patternFill>
    </fill>
    <fill>
      <patternFill patternType="solid">
        <fgColor rgb="FFFFF8E1"/>
        <bgColor rgb="FFFEF3C7"/>
      </patternFill>
    </fill>
    <fill>
      <patternFill patternType="solid">
        <fgColor rgb="FF1F5A94"/>
        <bgColor rgb="FF156082"/>
      </patternFill>
    </fill>
    <fill>
      <patternFill patternType="solid">
        <fgColor rgb="FFDCEAF7"/>
        <bgColor rgb="FFDCFCE7"/>
      </patternFill>
    </fill>
    <fill>
      <patternFill patternType="solid">
        <fgColor rgb="FFF4F8F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8" fillId="6"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B2E59"/>
          <bgColor rgb="FF000000"/>
        </patternFill>
      </fill>
    </dxf>
    <dxf>
      <fill>
        <patternFill patternType="solid">
          <bgColor rgb="FF000000"/>
        </patternFill>
      </fill>
    </dxf>
    <dxf>
      <fill>
        <patternFill patternType="solid">
          <fgColor rgb="FFFFFFFF"/>
          <bgColor rgb="FF000000"/>
        </patternFill>
      </fill>
    </dxf>
    <dxf>
      <fill>
        <patternFill patternType="solid">
          <fgColor rgb="FF0F1115"/>
          <bgColor rgb="FF000000"/>
        </patternFill>
      </fill>
    </dxf>
    <dxf>
      <fill>
        <patternFill patternType="solid">
          <fgColor rgb="FFDCFCE7"/>
          <bgColor rgb="FF000000"/>
        </patternFill>
      </fill>
    </dxf>
    <dxf>
      <fill>
        <patternFill patternType="solid">
          <fgColor rgb="FF0000FF"/>
          <bgColor rgb="FF000000"/>
        </patternFill>
      </fill>
    </dxf>
    <dxf>
      <fill>
        <patternFill>
          <bgColor rgb="FFDCFCE7"/>
        </patternFill>
      </fill>
    </dxf>
    <dxf>
      <fill>
        <patternFill>
          <bgColor rgb="FFDCEAF7"/>
        </patternFill>
      </fill>
    </dxf>
    <dxf>
      <fill>
        <patternFill>
          <bgColor rgb="FFFEF3C7"/>
        </patternFill>
      </fill>
    </dxf>
    <dxf>
      <fill>
        <patternFill>
          <bgColor rgb="FFFEE2E2"/>
        </patternFill>
      </fill>
    </dxf>
    <dxf>
      <font>
        <b val="1"/>
      </font>
      <fill>
        <patternFill>
          <bgColor rgb="FFFEE2E2"/>
        </patternFill>
      </fill>
    </dxf>
    <dxf>
      <fill>
        <patternFill patternType="solid">
          <fgColor rgb="FFDCEA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8E1"/>
      <rgbColor rgb="FFDCFCE7"/>
      <rgbColor rgb="FF660066"/>
      <rgbColor rgb="FFFF8080"/>
      <rgbColor rgb="FF1F5A94"/>
      <rgbColor rgb="FFD9D9D9"/>
      <rgbColor rgb="FF000080"/>
      <rgbColor rgb="FFFF00FF"/>
      <rgbColor rgb="FFFFFF00"/>
      <rgbColor rgb="FF00FFFF"/>
      <rgbColor rgb="FF800080"/>
      <rgbColor rgb="FF800000"/>
      <rgbColor rgb="FF008080"/>
      <rgbColor rgb="FF0000FF"/>
      <rgbColor rgb="FF00CCFF"/>
      <rgbColor rgb="FFDCEAF7"/>
      <rgbColor rgb="FFF4F8FC"/>
      <rgbColor rgb="FFFEF3C7"/>
      <rgbColor rgb="FF99CCFF"/>
      <rgbColor rgb="FFFF99CC"/>
      <rgbColor rgb="FFCC99FF"/>
      <rgbColor rgb="FFFEE2E2"/>
      <rgbColor rgb="FF3366FF"/>
      <rgbColor rgb="FF33CCCC"/>
      <rgbColor rgb="FF99CC00"/>
      <rgbColor rgb="FFFFCC00"/>
      <rgbColor rgb="FFFF9900"/>
      <rgbColor rgb="FFFF6600"/>
      <rgbColor rgb="FF666699"/>
      <rgbColor rgb="FF969696"/>
      <rgbColor rgb="FF0B2E59"/>
      <rgbColor rgb="FF339966"/>
      <rgbColor rgb="FF0F1115"/>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ea typeface="Calibri"/>
              </a:defRPr>
            </a:pPr>
            <a:r>
              <a:rPr b="1" lang="en-ZA" sz="1800" spc="-1" strike="noStrike">
                <a:solidFill>
                  <a:srgbClr val="000000"/>
                </a:solidFill>
                <a:latin typeface="Calibri"/>
                <a:ea typeface="Calibri"/>
              </a:rPr>
              <a:t>Task Status Summary</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lang="en-US"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ser>
        <c:gapWidth val="150"/>
        <c:overlap val="0"/>
        <c:axId val="10414942"/>
        <c:axId val="25952583"/>
      </c:barChart>
      <c:catAx>
        <c:axId val="1041494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lang="en-US" sz="1000" spc="-1" strike="noStrike">
                <a:solidFill>
                  <a:srgbClr val="000000"/>
                </a:solidFill>
                <a:latin typeface="Calibri"/>
                <a:ea typeface="Calibri"/>
              </a:defRPr>
            </a:pPr>
          </a:p>
        </c:txPr>
        <c:crossAx val="25952583"/>
        <c:crosses val="autoZero"/>
        <c:auto val="1"/>
        <c:lblAlgn val="ctr"/>
        <c:lblOffset val="100"/>
        <c:noMultiLvlLbl val="0"/>
      </c:catAx>
      <c:valAx>
        <c:axId val="2595258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lang="en-US" sz="1000" spc="-1" strike="noStrike">
                <a:solidFill>
                  <a:srgbClr val="000000"/>
                </a:solidFill>
                <a:latin typeface="Calibri"/>
                <a:ea typeface="Calibri"/>
              </a:defRPr>
            </a:pPr>
          </a:p>
        </c:txPr>
        <c:crossAx val="10414942"/>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11</xdr:col>
      <xdr:colOff>844920</xdr:colOff>
      <xdr:row>15</xdr:row>
      <xdr:rowOff>135000</xdr:rowOff>
    </xdr:to>
    <xdr:graphicFrame>
      <xdr:nvGraphicFramePr>
        <xdr:cNvPr id="0" name="Chart 1"/>
        <xdr:cNvGraphicFramePr/>
      </xdr:nvGraphicFramePr>
      <xdr:xfrm>
        <a:off x="8387640" y="428760"/>
        <a:ext cx="3382560" cy="3525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hallengesActionsTable" displayName="ChallengesActionsTable" ref="A2:H101" headerRowCount="1" totalsRowCount="0" totalsRowShown="0">
  <tableColumns count="8">
    <tableColumn id="1" name="Date Identified"/>
    <tableColumn id="2" name="Reporting Phase"/>
    <tableColumn id="3" name="Challenge"/>
    <tableColumn id="4" name="Effect on Progress"/>
    <tableColumn id="5" name="Corrective Action"/>
    <tableColumn id="6" name="Responsible Student"/>
    <tableColumn id="7" name="Target Date"/>
    <tableColumn id="8" name="Status"/>
  </tableColumns>
</table>
</file>

<file path=xl/tables/table2.xml><?xml version="1.0" encoding="utf-8"?>
<table xmlns="http://schemas.openxmlformats.org/spreadsheetml/2006/main" id="2" name="IndividualContributionsTable" displayName="IndividualContributionsTable" ref="A2:L201" headerRowCount="1" totalsRowCount="0" totalsRowShown="0">
  <tableColumns count="12">
    <tableColumn id="1" name="Student Name"/>
    <tableColumn id="2" name="Student Number"/>
    <tableColumn id="3" name="Reporting Phase"/>
    <tableColumn id="4" name="Activity"/>
    <tableColumn id="5" name="Assigned Responsibility"/>
    <tableColumn id="6" name="Work Personally Completed"/>
    <tableColumn id="7" name="Date Completed"/>
    <tableColumn id="8" name="Hours Spent"/>
    <tableColumn id="9" name="Evidence / Link"/>
    <tableColumn id="10" name="Verified by Group"/>
    <tableColumn id="11" name="Verification Date"/>
    <tableColumn id="12" name="Notes"/>
  </tableColumns>
</table>
</file>

<file path=xl/tables/table3.xml><?xml version="1.0" encoding="utf-8"?>
<table xmlns="http://schemas.openxmlformats.org/spreadsheetml/2006/main" id="3" name="StakeholderEngagementTable" displayName="StakeholderEngagementTable" ref="A2:I101" headerRowCount="1" totalsRowCount="0" totalsRowShown="0">
  <tableColumns count="9">
    <tableColumn id="1" name="Date"/>
    <tableColumn id="2" name="Reporting Phase"/>
    <tableColumn id="3" name="Type of Engagement"/>
    <tableColumn id="4" name="Purpose"/>
    <tableColumn id="5" name="Students Present"/>
    <tableColumn id="6" name="Stakeholder Present / Role"/>
    <tableColumn id="7" name="Main Findings"/>
    <tableColumn id="8" name="Action Required"/>
    <tableColumn id="9" name="Evidence / Link"/>
  </tableColumns>
</table>
</file>

<file path=xl/tables/table4.xml><?xml version="1.0" encoding="utf-8"?>
<table xmlns="http://schemas.openxmlformats.org/spreadsheetml/2006/main" id="4" name="TaskProgressTable" displayName="TaskProgressTable" ref="A2:M101" headerRowCount="1" totalsRowCount="0" totalsRowShown="0">
  <tableColumns count="13">
    <tableColumn id="1" name="Task ID"/>
    <tableColumn id="2" name="Reporting Phase"/>
    <tableColumn id="3" name="Activity"/>
    <tableColumn id="4" name="Task Description"/>
    <tableColumn id="5" name="Assigned Student(s)"/>
    <tableColumn id="6" name="Start Date"/>
    <tableColumn id="7" name="Due Date"/>
    <tableColumn id="8" name="Status"/>
    <tableColumn id="9" name="% Complete"/>
    <tableColumn id="10" name="Evidence / Link"/>
    <tableColumn id="11" name="Verified by Group"/>
    <tableColumn id="12" name="Lecturer Comment"/>
    <tableColumn id="13" name="Progress Flag"/>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github.com/Lekhelebana/WIL-Project" TargetMode="External"/><Relationship Id="rId2" Type="http://schemas.openxmlformats.org/officeDocument/2006/relationships/hyperlink" Target="https://supabase.com/dashboard/project/qmcwfnupigrpkmtommcd" TargetMode="External"/><Relationship Id="rId3"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9.00390625" defaultRowHeight="14.25" zeroHeight="false" outlineLevelRow="0" outlineLevelCol="0"/>
  <cols>
    <col collapsed="false" customWidth="true" hidden="false" outlineLevel="0" max="1" min="1" style="1" width="24"/>
    <col collapsed="false" customWidth="true" hidden="false" outlineLevel="0" max="2" min="2" style="1" width="48"/>
    <col collapsed="false" customWidth="true" hidden="false" outlineLevel="0" max="3" min="3" style="1" width="3"/>
    <col collapsed="false" customWidth="true" hidden="false" outlineLevel="0" max="4" min="4" style="1" width="10"/>
    <col collapsed="false" customWidth="true" hidden="false" outlineLevel="0" max="5" min="5" style="1" width="54"/>
    <col collapsed="false" customWidth="true" hidden="false" outlineLevel="0" max="8" min="6" style="1" width="12"/>
  </cols>
  <sheetData>
    <row r="1" customFormat="false" ht="19.5" hidden="false" customHeight="true" outlineLevel="0" collapsed="false">
      <c r="A1" s="2" t="s">
        <v>0</v>
      </c>
      <c r="B1" s="2"/>
      <c r="C1" s="2"/>
      <c r="D1" s="2"/>
      <c r="E1" s="2"/>
      <c r="F1" s="2"/>
      <c r="G1" s="2"/>
      <c r="H1" s="2"/>
    </row>
    <row r="3" customFormat="false" ht="27.75" hidden="false" customHeight="true" outlineLevel="0" collapsed="false">
      <c r="A3" s="3" t="s">
        <v>1</v>
      </c>
      <c r="B3" s="3"/>
      <c r="C3" s="3"/>
      <c r="D3" s="3"/>
      <c r="E3" s="3"/>
      <c r="F3" s="3"/>
      <c r="G3" s="3"/>
      <c r="H3" s="3"/>
    </row>
    <row r="5" customFormat="false" ht="14.25" hidden="false" customHeight="true" outlineLevel="0" collapsed="false">
      <c r="A5" s="4" t="s">
        <v>2</v>
      </c>
      <c r="B5" s="4" t="s">
        <v>3</v>
      </c>
      <c r="D5" s="5" t="s">
        <v>4</v>
      </c>
      <c r="E5" s="5"/>
      <c r="F5" s="5"/>
      <c r="G5" s="5"/>
      <c r="H5" s="5"/>
    </row>
    <row r="6" customFormat="false" ht="45" hidden="false" customHeight="true" outlineLevel="0" collapsed="false">
      <c r="A6" s="6" t="s">
        <v>5</v>
      </c>
      <c r="B6" s="7" t="s">
        <v>6</v>
      </c>
      <c r="D6" s="6" t="s">
        <v>7</v>
      </c>
      <c r="E6" s="7" t="s">
        <v>8</v>
      </c>
    </row>
    <row r="7" customFormat="false" ht="41.25" hidden="false" customHeight="true" outlineLevel="0" collapsed="false">
      <c r="A7" s="6" t="s">
        <v>9</v>
      </c>
      <c r="B7" s="7" t="s">
        <v>10</v>
      </c>
      <c r="D7" s="6" t="s">
        <v>11</v>
      </c>
      <c r="E7" s="7" t="s">
        <v>12</v>
      </c>
    </row>
    <row r="8" customFormat="false" ht="35.25" hidden="false" customHeight="true" outlineLevel="0" collapsed="false">
      <c r="A8" s="6" t="s">
        <v>13</v>
      </c>
      <c r="B8" s="7" t="s">
        <v>14</v>
      </c>
      <c r="D8" s="6" t="s">
        <v>15</v>
      </c>
      <c r="E8" s="7" t="s">
        <v>16</v>
      </c>
    </row>
    <row r="9" customFormat="false" ht="34.5" hidden="false" customHeight="true" outlineLevel="0" collapsed="false">
      <c r="A9" s="6" t="s">
        <v>17</v>
      </c>
      <c r="B9" s="7" t="s">
        <v>18</v>
      </c>
      <c r="D9" s="6" t="s">
        <v>19</v>
      </c>
      <c r="E9" s="7" t="s">
        <v>20</v>
      </c>
    </row>
    <row r="10" customFormat="false" ht="44.25" hidden="false" customHeight="true" outlineLevel="0" collapsed="false">
      <c r="A10" s="6" t="s">
        <v>21</v>
      </c>
      <c r="B10" s="7" t="s">
        <v>22</v>
      </c>
      <c r="D10" s="6" t="s">
        <v>23</v>
      </c>
      <c r="E10" s="7" t="s">
        <v>24</v>
      </c>
    </row>
    <row r="11" customFormat="false" ht="38.25" hidden="false" customHeight="true" outlineLevel="0" collapsed="false">
      <c r="A11" s="6" t="s">
        <v>25</v>
      </c>
      <c r="B11" s="7" t="s">
        <v>26</v>
      </c>
      <c r="D11" s="6" t="s">
        <v>27</v>
      </c>
      <c r="E11" s="7" t="s">
        <v>28</v>
      </c>
    </row>
    <row r="12" customFormat="false" ht="27.75" hidden="false" customHeight="true" outlineLevel="0" collapsed="false">
      <c r="A12" s="6" t="s">
        <v>29</v>
      </c>
      <c r="B12" s="7" t="s">
        <v>30</v>
      </c>
    </row>
    <row r="13" customFormat="false" ht="14.25" hidden="false" customHeight="true" outlineLevel="0" collapsed="false">
      <c r="D13" s="5" t="s">
        <v>31</v>
      </c>
      <c r="E13" s="5"/>
      <c r="F13" s="5"/>
      <c r="G13" s="5"/>
      <c r="H13" s="5"/>
    </row>
    <row r="14" customFormat="false" ht="27.75" hidden="false" customHeight="true" outlineLevel="0" collapsed="false">
      <c r="D14" s="6" t="s">
        <v>32</v>
      </c>
      <c r="E14" s="7" t="s">
        <v>33</v>
      </c>
    </row>
    <row r="15" customFormat="false" ht="14.25" hidden="false" customHeight="true" outlineLevel="0" collapsed="false">
      <c r="D15" s="6" t="s">
        <v>34</v>
      </c>
      <c r="E15" s="7" t="s">
        <v>35</v>
      </c>
    </row>
    <row r="16" customFormat="false" ht="14.25" hidden="false" customHeight="true" outlineLevel="0" collapsed="false">
      <c r="D16" s="6" t="s">
        <v>36</v>
      </c>
      <c r="E16" s="7" t="s">
        <v>37</v>
      </c>
    </row>
    <row r="17" customFormat="false" ht="14.25" hidden="false" customHeight="true" outlineLevel="0" collapsed="false">
      <c r="D17" s="6" t="s">
        <v>38</v>
      </c>
      <c r="E17" s="7" t="s">
        <v>39</v>
      </c>
    </row>
  </sheetData>
  <mergeCells count="4">
    <mergeCell ref="A1:H1"/>
    <mergeCell ref="A3:H3"/>
    <mergeCell ref="D5:H5"/>
    <mergeCell ref="D13:H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11" activeCellId="0" sqref="B11"/>
    </sheetView>
  </sheetViews>
  <sheetFormatPr defaultColWidth="9.00390625" defaultRowHeight="14.25"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5" min="3" style="1" width="3"/>
    <col collapsed="false" customWidth="true" hidden="false" outlineLevel="0" max="6" min="6" style="1" width="26"/>
    <col collapsed="false" customWidth="true" hidden="false" outlineLevel="0" max="7" min="7" style="1" width="12"/>
    <col collapsed="false" customWidth="true" hidden="false" outlineLevel="0" max="8" min="8" style="1" width="3"/>
    <col collapsed="false" customWidth="true" hidden="false" outlineLevel="0" max="12" min="9" style="1" width="12"/>
  </cols>
  <sheetData>
    <row r="1" customFormat="false" ht="19.5" hidden="false" customHeight="true" outlineLevel="0" collapsed="false">
      <c r="A1" s="2" t="s">
        <v>40</v>
      </c>
      <c r="B1" s="2"/>
      <c r="C1" s="2"/>
      <c r="D1" s="2"/>
      <c r="E1" s="2"/>
      <c r="F1" s="2"/>
      <c r="G1" s="2"/>
      <c r="H1" s="2"/>
      <c r="I1" s="2"/>
      <c r="J1" s="2"/>
      <c r="K1" s="2"/>
      <c r="L1" s="2"/>
    </row>
    <row r="3" customFormat="false" ht="14.25" hidden="false" customHeight="true" outlineLevel="0" collapsed="false">
      <c r="A3" s="4" t="s">
        <v>41</v>
      </c>
      <c r="B3" s="4" t="s">
        <v>42</v>
      </c>
      <c r="F3" s="4" t="s">
        <v>43</v>
      </c>
      <c r="G3" s="4" t="s">
        <v>44</v>
      </c>
    </row>
    <row r="4" customFormat="false" ht="18" hidden="false" customHeight="true" outlineLevel="0" collapsed="false">
      <c r="A4" s="6" t="s">
        <v>45</v>
      </c>
      <c r="B4" s="8" t="s">
        <v>46</v>
      </c>
      <c r="F4" s="6" t="s">
        <v>47</v>
      </c>
      <c r="G4" s="9" t="n">
        <f aca="false">COUNTIF('Task Progress'!H2:H101,"Completed")</f>
        <v>11</v>
      </c>
    </row>
    <row r="5" customFormat="false" ht="18" hidden="false" customHeight="true" outlineLevel="0" collapsed="false">
      <c r="A5" s="6" t="s">
        <v>48</v>
      </c>
      <c r="B5" s="8" t="s">
        <v>49</v>
      </c>
      <c r="F5" s="6" t="s">
        <v>50</v>
      </c>
      <c r="G5" s="9" t="n">
        <f aca="false">COUNTIF('Task Progress'!H2:H101,"In Progress")</f>
        <v>0</v>
      </c>
    </row>
    <row r="6" customFormat="false" ht="18" hidden="false" customHeight="true" outlineLevel="0" collapsed="false">
      <c r="A6" s="6" t="s">
        <v>51</v>
      </c>
      <c r="B6" s="8" t="s">
        <v>52</v>
      </c>
      <c r="F6" s="6" t="s">
        <v>53</v>
      </c>
      <c r="G6" s="9" t="n">
        <f aca="false">COUNTIF('Task Progress'!H2:H101,"Not Started")</f>
        <v>0</v>
      </c>
    </row>
    <row r="7" customFormat="false" ht="18" hidden="false" customHeight="true" outlineLevel="0" collapsed="false">
      <c r="A7" s="6" t="s">
        <v>54</v>
      </c>
      <c r="B7" s="8" t="s">
        <v>55</v>
      </c>
      <c r="F7" s="6" t="s">
        <v>56</v>
      </c>
      <c r="G7" s="9" t="n">
        <f aca="false">COUNTIF('Task Progress'!H2:H101,"Delayed")</f>
        <v>0</v>
      </c>
    </row>
    <row r="8" customFormat="false" ht="18" hidden="false" customHeight="true" outlineLevel="0" collapsed="false">
      <c r="A8" s="6" t="s">
        <v>57</v>
      </c>
      <c r="B8" s="8" t="s">
        <v>32</v>
      </c>
      <c r="F8" s="6" t="s">
        <v>58</v>
      </c>
      <c r="G8" s="9" t="n">
        <f aca="false">COUNTIF('Task Progress'!H2:H101,"Blocked")</f>
        <v>0</v>
      </c>
    </row>
    <row r="9" customFormat="false" ht="18" hidden="false" customHeight="true" outlineLevel="0" collapsed="false">
      <c r="A9" s="6" t="s">
        <v>59</v>
      </c>
      <c r="B9" s="8" t="s">
        <v>60</v>
      </c>
      <c r="F9" s="6" t="s">
        <v>61</v>
      </c>
      <c r="G9" s="9" t="n">
        <f aca="false">COUNTIF('Task Progress'!M2:M101,"Overdue")</f>
        <v>0</v>
      </c>
    </row>
    <row r="10" customFormat="false" ht="18" hidden="false" customHeight="true" outlineLevel="0" collapsed="false">
      <c r="A10" s="6" t="s">
        <v>62</v>
      </c>
      <c r="B10" s="8" t="s">
        <v>47</v>
      </c>
    </row>
    <row r="11" customFormat="false" ht="18" hidden="false" customHeight="true" outlineLevel="0" collapsed="false">
      <c r="A11" s="6" t="s">
        <v>63</v>
      </c>
      <c r="B11" s="10" t="n">
        <f aca="false">IFERROR(SUM('Task Progress'!I2:I101)/COUNTIF('Task Progress'!D2:D101,"&lt;&gt;")/100,0)</f>
        <v>0.916666666666667</v>
      </c>
      <c r="F11" s="4" t="s">
        <v>64</v>
      </c>
      <c r="G11" s="4" t="s">
        <v>44</v>
      </c>
    </row>
    <row r="12" customFormat="false" ht="31.5" hidden="false" customHeight="true" outlineLevel="0" collapsed="false">
      <c r="A12" s="6" t="s">
        <v>65</v>
      </c>
      <c r="B12" s="8" t="s">
        <v>66</v>
      </c>
      <c r="F12" s="6" t="s">
        <v>67</v>
      </c>
      <c r="G12" s="9" t="n">
        <f aca="false">COUNTIF('Individual Contributions'!E3:E201,"?*")</f>
        <v>11</v>
      </c>
    </row>
    <row r="13" customFormat="false" ht="31.5" hidden="false" customHeight="true" outlineLevel="0" collapsed="false">
      <c r="A13" s="6" t="s">
        <v>68</v>
      </c>
      <c r="B13" s="8" t="s">
        <v>69</v>
      </c>
      <c r="F13" s="6" t="s">
        <v>70</v>
      </c>
      <c r="G13" s="9" t="n">
        <f aca="false">COUNTIFS('Individual Contributions'!E3:E201,"?*",'Individual Contributions'!J3:J201,"Yes")</f>
        <v>11</v>
      </c>
    </row>
    <row r="14" customFormat="false" ht="31.5" hidden="false" customHeight="true" outlineLevel="0" collapsed="false">
      <c r="A14" s="6" t="s">
        <v>71</v>
      </c>
      <c r="B14" s="8" t="s">
        <v>72</v>
      </c>
      <c r="F14" s="6" t="s">
        <v>73</v>
      </c>
      <c r="G14" s="9" t="n">
        <f aca="false">COUNTIFS('Individual Contributions'!E3:E201,"?*",'Individual Contributions'!J3:J201,"No")</f>
        <v>0</v>
      </c>
    </row>
    <row r="15" customFormat="false" ht="14.25" hidden="false" customHeight="true" outlineLevel="0" collapsed="false">
      <c r="F15" s="6" t="s">
        <v>74</v>
      </c>
      <c r="G15" s="9" t="n">
        <f aca="false">COUNT('Stakeholder Engagement'!A3:A101)</f>
        <v>2</v>
      </c>
    </row>
    <row r="18" customFormat="false" ht="14.25" hidden="false" customHeight="true" outlineLevel="0" collapsed="false">
      <c r="A18" s="4" t="s">
        <v>75</v>
      </c>
    </row>
    <row r="19" customFormat="false" ht="14.25" hidden="false" customHeight="true" outlineLevel="0" collapsed="false">
      <c r="A19" s="6" t="s">
        <v>57</v>
      </c>
      <c r="B19" s="8" t="s">
        <v>76</v>
      </c>
    </row>
    <row r="20" customFormat="false" ht="14.25" hidden="false" customHeight="true" outlineLevel="0" collapsed="false">
      <c r="A20" s="6" t="s">
        <v>59</v>
      </c>
      <c r="B20" s="8" t="s">
        <v>77</v>
      </c>
    </row>
    <row r="21" customFormat="false" ht="14.25" hidden="false" customHeight="true" outlineLevel="0" collapsed="false">
      <c r="A21" s="6" t="s">
        <v>62</v>
      </c>
      <c r="B21" s="8" t="s">
        <v>47</v>
      </c>
    </row>
    <row r="22" customFormat="false" ht="14.25" hidden="false" customHeight="true" outlineLevel="0" collapsed="false">
      <c r="A22" s="6" t="s">
        <v>63</v>
      </c>
      <c r="B22" s="10" t="n">
        <v>1</v>
      </c>
    </row>
    <row r="23" customFormat="false" ht="54.75" hidden="false" customHeight="true" outlineLevel="0" collapsed="false">
      <c r="A23" s="6" t="s">
        <v>65</v>
      </c>
      <c r="B23" s="8" t="s">
        <v>78</v>
      </c>
    </row>
    <row r="24" customFormat="false" ht="41.25" hidden="false" customHeight="true" outlineLevel="0" collapsed="false">
      <c r="A24" s="6" t="s">
        <v>68</v>
      </c>
      <c r="B24" s="8" t="s">
        <v>79</v>
      </c>
    </row>
    <row r="25" customFormat="false" ht="27.75" hidden="false" customHeight="true" outlineLevel="0" collapsed="false">
      <c r="A25" s="6" t="s">
        <v>71</v>
      </c>
      <c r="B25" s="8" t="s">
        <v>80</v>
      </c>
    </row>
  </sheetData>
  <mergeCells count="1">
    <mergeCell ref="A1:L1"/>
  </mergeCells>
  <dataValidations count="2">
    <dataValidation allowBlank="false" errorStyle="stop" operator="between" showDropDown="false" showErrorMessage="false" showInputMessage="false" sqref="B8" type="list">
      <formula1>"Unit 1 / Phase 1,Phase 2,Phase 3,Final"</formula1>
      <formula2>0</formula2>
    </dataValidation>
    <dataValidation allowBlank="false" errorStyle="stop" operator="between" showDropDown="false" showErrorMessage="false" showInputMessage="false" sqref="B10" type="list">
      <formula1>"Not Started,In Progress,Completed,Delayed,Blocked"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3"/>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J4" activeCellId="0" sqref="J4"/>
    </sheetView>
  </sheetViews>
  <sheetFormatPr defaultColWidth="9.00390625" defaultRowHeight="14.25" zeroHeight="false" outlineLevelRow="0" outlineLevelCol="0"/>
  <cols>
    <col collapsed="false" customWidth="true" hidden="false" outlineLevel="0" max="1" min="1" style="1" width="12"/>
    <col collapsed="false" customWidth="true" hidden="false" outlineLevel="0" max="2" min="2" style="1" width="19"/>
    <col collapsed="false" customWidth="true" hidden="false" outlineLevel="0" max="3" min="3" style="1" width="15"/>
    <col collapsed="false" customWidth="true" hidden="false" outlineLevel="0" max="4" min="4" style="1" width="38"/>
    <col collapsed="false" customWidth="true" hidden="false" outlineLevel="0" max="5" min="5" style="1" width="24"/>
    <col collapsed="false" customWidth="true" hidden="false" outlineLevel="0" max="7" min="6" style="1" width="12"/>
    <col collapsed="false" customWidth="true" hidden="false" outlineLevel="0" max="8" min="8" style="1" width="15"/>
    <col collapsed="false" customWidth="true" hidden="false" outlineLevel="0" max="9" min="9" style="1" width="12"/>
    <col collapsed="false" customWidth="true" hidden="false" outlineLevel="0" max="10" min="10" style="1" width="34"/>
    <col collapsed="false" customWidth="true" hidden="false" outlineLevel="0" max="11" min="11" style="1" width="16"/>
    <col collapsed="false" customWidth="true" hidden="false" outlineLevel="0" max="12" min="12" style="1" width="32"/>
    <col collapsed="false" customWidth="true" hidden="false" outlineLevel="0" max="13" min="13" style="1" width="14"/>
  </cols>
  <sheetData>
    <row r="1" customFormat="false" ht="19.5" hidden="false" customHeight="true" outlineLevel="0" collapsed="false">
      <c r="A1" s="2" t="s">
        <v>81</v>
      </c>
      <c r="B1" s="2"/>
      <c r="C1" s="2"/>
      <c r="D1" s="2"/>
      <c r="E1" s="2"/>
      <c r="F1" s="2"/>
      <c r="G1" s="2"/>
      <c r="H1" s="2"/>
      <c r="I1" s="2"/>
      <c r="J1" s="2"/>
      <c r="K1" s="2"/>
      <c r="L1" s="2"/>
      <c r="M1" s="2"/>
    </row>
    <row r="2" customFormat="false" ht="14.25" hidden="false" customHeight="true" outlineLevel="0" collapsed="false">
      <c r="A2" s="4" t="s">
        <v>82</v>
      </c>
      <c r="B2" s="4" t="s">
        <v>83</v>
      </c>
      <c r="C2" s="4" t="s">
        <v>84</v>
      </c>
      <c r="D2" s="4" t="s">
        <v>85</v>
      </c>
      <c r="E2" s="4" t="s">
        <v>86</v>
      </c>
      <c r="F2" s="4" t="s">
        <v>87</v>
      </c>
      <c r="G2" s="4" t="s">
        <v>88</v>
      </c>
      <c r="H2" s="4" t="s">
        <v>89</v>
      </c>
      <c r="I2" s="4" t="s">
        <v>90</v>
      </c>
      <c r="J2" s="4" t="s">
        <v>91</v>
      </c>
      <c r="K2" s="4" t="s">
        <v>92</v>
      </c>
      <c r="L2" s="4" t="s">
        <v>93</v>
      </c>
      <c r="M2" s="4" t="s">
        <v>94</v>
      </c>
    </row>
    <row r="3" customFormat="false" ht="27.75" hidden="false" customHeight="true" outlineLevel="0" collapsed="false">
      <c r="A3" s="11" t="s">
        <v>95</v>
      </c>
      <c r="B3" s="11" t="s">
        <v>32</v>
      </c>
      <c r="C3" s="11" t="s">
        <v>96</v>
      </c>
      <c r="D3" s="11" t="s">
        <v>97</v>
      </c>
      <c r="E3" s="11" t="s">
        <v>98</v>
      </c>
      <c r="F3" s="12" t="n">
        <v>46252</v>
      </c>
      <c r="G3" s="12" t="n">
        <v>46255</v>
      </c>
      <c r="H3" s="11" t="s">
        <v>47</v>
      </c>
      <c r="I3" s="13" t="n">
        <v>100</v>
      </c>
      <c r="J3" s="11" t="s">
        <v>99</v>
      </c>
      <c r="K3" s="11" t="s">
        <v>100</v>
      </c>
      <c r="L3" s="11"/>
      <c r="M3" s="14" t="str">
        <f aca="true">IF(D3="","",IF(H3="Completed","Completed",IF(H3="Blocked","Blocked",IF(H3="Delayed","Delayed",IF(AND(G3&lt;&gt;"",G3&lt;TODAY(),H3&lt;&gt;"Completed"),"Overdue","On Track")))))</f>
        <v>Completed</v>
      </c>
    </row>
    <row r="4" customFormat="false" ht="27.75" hidden="false" customHeight="true" outlineLevel="0" collapsed="false">
      <c r="A4" s="11" t="s">
        <v>101</v>
      </c>
      <c r="B4" s="11" t="s">
        <v>32</v>
      </c>
      <c r="C4" s="11" t="s">
        <v>96</v>
      </c>
      <c r="D4" s="11" t="s">
        <v>102</v>
      </c>
      <c r="E4" s="11" t="s">
        <v>103</v>
      </c>
      <c r="F4" s="12" t="n">
        <v>46252</v>
      </c>
      <c r="G4" s="12" t="n">
        <v>46256</v>
      </c>
      <c r="H4" s="11" t="s">
        <v>47</v>
      </c>
      <c r="I4" s="13" t="n">
        <v>100</v>
      </c>
      <c r="J4" s="11" t="s">
        <v>104</v>
      </c>
      <c r="K4" s="11" t="s">
        <v>100</v>
      </c>
      <c r="L4" s="11"/>
      <c r="M4" s="14" t="str">
        <f aca="true">IF(D4="","",IF(H4="Completed","Completed",IF(H4="Blocked","Blocked",IF(H4="Delayed","Delayed",IF(AND(G4&lt;&gt;"",G4&lt;TODAY(),H4&lt;&gt;"Completed"),"Overdue","On Track")))))</f>
        <v>Completed</v>
      </c>
    </row>
    <row r="5" customFormat="false" ht="16.5" hidden="false" customHeight="true" outlineLevel="0" collapsed="false">
      <c r="A5" s="11" t="s">
        <v>105</v>
      </c>
      <c r="B5" s="11" t="s">
        <v>32</v>
      </c>
      <c r="C5" s="11" t="s">
        <v>96</v>
      </c>
      <c r="D5" s="11" t="s">
        <v>106</v>
      </c>
      <c r="E5" s="15" t="s">
        <v>107</v>
      </c>
      <c r="F5" s="12" t="n">
        <v>46253</v>
      </c>
      <c r="G5" s="12" t="n">
        <v>46256</v>
      </c>
      <c r="H5" s="11" t="s">
        <v>47</v>
      </c>
      <c r="I5" s="13" t="n">
        <v>100</v>
      </c>
      <c r="J5" s="11" t="s">
        <v>108</v>
      </c>
      <c r="K5" s="11" t="s">
        <v>100</v>
      </c>
      <c r="L5" s="11"/>
      <c r="M5" s="14" t="str">
        <f aca="true">IF(D5="","",IF(H5="Completed","Completed",IF(H5="Blocked","Blocked",IF(H5="Delayed","Delayed",IF(AND(G5&lt;&gt;"",G5&lt;TODAY(),H5&lt;&gt;"Completed"),"Overdue","On Track")))))</f>
        <v>Completed</v>
      </c>
    </row>
    <row r="6" customFormat="false" ht="27.75" hidden="false" customHeight="true" outlineLevel="0" collapsed="false">
      <c r="A6" s="11" t="s">
        <v>109</v>
      </c>
      <c r="B6" s="11" t="s">
        <v>32</v>
      </c>
      <c r="C6" s="11" t="s">
        <v>110</v>
      </c>
      <c r="D6" s="11" t="s">
        <v>111</v>
      </c>
      <c r="E6" s="11" t="s">
        <v>98</v>
      </c>
      <c r="F6" s="12" t="n">
        <v>46254</v>
      </c>
      <c r="G6" s="12" t="n">
        <v>46255</v>
      </c>
      <c r="H6" s="11" t="s">
        <v>47</v>
      </c>
      <c r="I6" s="13" t="n">
        <v>100</v>
      </c>
      <c r="J6" s="11" t="s">
        <v>112</v>
      </c>
      <c r="K6" s="11" t="s">
        <v>100</v>
      </c>
      <c r="L6" s="11"/>
      <c r="M6" s="14" t="str">
        <f aca="true">IF(D6="","",IF(H6="Completed","Completed",IF(H6="Blocked","Blocked",IF(H6="Delayed","Delayed",IF(AND(G6&lt;&gt;"",G6&lt;TODAY(),H6&lt;&gt;"Completed"),"Overdue","On Track")))))</f>
        <v>Completed</v>
      </c>
    </row>
    <row r="7" customFormat="false" ht="27.75" hidden="false" customHeight="true" outlineLevel="0" collapsed="false">
      <c r="A7" s="11" t="s">
        <v>113</v>
      </c>
      <c r="B7" s="11" t="s">
        <v>32</v>
      </c>
      <c r="C7" s="11" t="s">
        <v>110</v>
      </c>
      <c r="D7" s="11" t="s">
        <v>114</v>
      </c>
      <c r="E7" s="11" t="s">
        <v>115</v>
      </c>
      <c r="F7" s="12" t="n">
        <v>46255</v>
      </c>
      <c r="G7" s="12" t="n">
        <v>46257</v>
      </c>
      <c r="H7" s="11" t="s">
        <v>47</v>
      </c>
      <c r="I7" s="13" t="n">
        <v>100</v>
      </c>
      <c r="J7" s="11" t="s">
        <v>116</v>
      </c>
      <c r="K7" s="11" t="s">
        <v>100</v>
      </c>
      <c r="L7" s="11"/>
      <c r="M7" s="14" t="str">
        <f aca="true">IF(D7="","",IF(H7="Completed","Completed",IF(H7="Blocked","Blocked",IF(H7="Delayed","Delayed",IF(AND(G7&lt;&gt;"",G7&lt;TODAY(),H7&lt;&gt;"Completed"),"Overdue","On Track")))))</f>
        <v>Completed</v>
      </c>
    </row>
    <row r="8" customFormat="false" ht="28.5" hidden="false" customHeight="true" outlineLevel="0" collapsed="false">
      <c r="A8" s="11" t="s">
        <v>117</v>
      </c>
      <c r="B8" s="11" t="s">
        <v>32</v>
      </c>
      <c r="C8" s="11" t="s">
        <v>118</v>
      </c>
      <c r="D8" s="11" t="s">
        <v>119</v>
      </c>
      <c r="E8" s="11" t="s">
        <v>115</v>
      </c>
      <c r="F8" s="12" t="n">
        <v>46255</v>
      </c>
      <c r="G8" s="12" t="n">
        <v>46259</v>
      </c>
      <c r="H8" s="11" t="s">
        <v>47</v>
      </c>
      <c r="I8" s="13" t="n">
        <v>100</v>
      </c>
      <c r="J8" s="11" t="s">
        <v>120</v>
      </c>
      <c r="K8" s="11" t="s">
        <v>100</v>
      </c>
      <c r="L8" s="11"/>
      <c r="M8" s="14" t="str">
        <f aca="true">IF(D8="","",IF(H8="Completed","Completed",IF(H8="Blocked","Blocked",IF(H8="Delayed","Delayed",IF(AND(G8&lt;&gt;"",G8&lt;TODAY(),H8&lt;&gt;"Completed"),"Overdue","On Track")))))</f>
        <v>Completed</v>
      </c>
    </row>
    <row r="9" customFormat="false" ht="27.75" hidden="false" customHeight="true" outlineLevel="0" collapsed="false">
      <c r="A9" s="11" t="s">
        <v>121</v>
      </c>
      <c r="B9" s="11" t="s">
        <v>32</v>
      </c>
      <c r="C9" s="11" t="s">
        <v>118</v>
      </c>
      <c r="D9" s="11" t="s">
        <v>122</v>
      </c>
      <c r="E9" s="11" t="s">
        <v>123</v>
      </c>
      <c r="F9" s="12" t="n">
        <v>46257</v>
      </c>
      <c r="G9" s="12" t="n">
        <v>46258</v>
      </c>
      <c r="H9" s="11" t="s">
        <v>47</v>
      </c>
      <c r="I9" s="13" t="n">
        <v>100</v>
      </c>
      <c r="J9" s="11" t="s">
        <v>124</v>
      </c>
      <c r="K9" s="11" t="s">
        <v>100</v>
      </c>
      <c r="L9" s="11"/>
      <c r="M9" s="14" t="str">
        <f aca="true">IF(D9="","",IF(H9="Completed","Completed",IF(H9="Blocked","Blocked",IF(H9="Delayed","Delayed",IF(AND(G9&lt;&gt;"",G9&lt;TODAY(),H9&lt;&gt;"Completed"),"Overdue","On Track")))))</f>
        <v>Completed</v>
      </c>
    </row>
    <row r="10" customFormat="false" ht="27.75" hidden="false" customHeight="true" outlineLevel="0" collapsed="false">
      <c r="A10" s="11" t="s">
        <v>125</v>
      </c>
      <c r="B10" s="11" t="s">
        <v>32</v>
      </c>
      <c r="C10" s="11" t="s">
        <v>118</v>
      </c>
      <c r="D10" s="11" t="s">
        <v>126</v>
      </c>
      <c r="E10" s="11" t="s">
        <v>127</v>
      </c>
      <c r="F10" s="12" t="n">
        <v>46256</v>
      </c>
      <c r="G10" s="12" t="n">
        <v>46257</v>
      </c>
      <c r="H10" s="11" t="s">
        <v>47</v>
      </c>
      <c r="I10" s="13" t="n">
        <v>100</v>
      </c>
      <c r="J10" s="16" t="s">
        <v>128</v>
      </c>
      <c r="K10" s="11" t="s">
        <v>100</v>
      </c>
      <c r="L10" s="11"/>
      <c r="M10" s="14" t="str">
        <f aca="true">IF(D10="","",IF(H10="Completed","Completed",IF(H10="Blocked","Blocked",IF(H10="Delayed","Delayed",IF(AND(G10&lt;&gt;"",G10&lt;TODAY(),H10&lt;&gt;"Completed"),"Overdue","On Track")))))</f>
        <v>Completed</v>
      </c>
    </row>
    <row r="11" customFormat="false" ht="28.5" hidden="false" customHeight="true" outlineLevel="0" collapsed="false">
      <c r="A11" s="11" t="s">
        <v>129</v>
      </c>
      <c r="B11" s="11" t="s">
        <v>32</v>
      </c>
      <c r="C11" s="11" t="s">
        <v>118</v>
      </c>
      <c r="D11" s="11" t="s">
        <v>130</v>
      </c>
      <c r="E11" s="11" t="s">
        <v>131</v>
      </c>
      <c r="F11" s="12" t="n">
        <v>46257</v>
      </c>
      <c r="G11" s="12" t="n">
        <v>46258</v>
      </c>
      <c r="H11" s="11" t="s">
        <v>47</v>
      </c>
      <c r="I11" s="13" t="n">
        <v>100</v>
      </c>
      <c r="J11" s="17" t="s">
        <v>132</v>
      </c>
      <c r="K11" s="11" t="s">
        <v>100</v>
      </c>
      <c r="L11" s="11"/>
      <c r="M11" s="14" t="str">
        <f aca="true">IF(D11="","",IF(H11="Completed","Completed",IF(H11="Blocked","Blocked",IF(H11="Delayed","Delayed",IF(AND(G11&lt;&gt;"",G11&lt;TODAY(),H11&lt;&gt;"Completed"),"Overdue","On Track")))))</f>
        <v>Completed</v>
      </c>
    </row>
    <row r="12" customFormat="false" ht="27.75" hidden="false" customHeight="true" outlineLevel="0" collapsed="false">
      <c r="A12" s="11" t="s">
        <v>133</v>
      </c>
      <c r="B12" s="11" t="s">
        <v>32</v>
      </c>
      <c r="C12" s="11" t="s">
        <v>118</v>
      </c>
      <c r="D12" s="11" t="s">
        <v>134</v>
      </c>
      <c r="E12" s="11" t="s">
        <v>135</v>
      </c>
      <c r="F12" s="12" t="n">
        <v>46258</v>
      </c>
      <c r="G12" s="12" t="n">
        <v>46259</v>
      </c>
      <c r="H12" s="11" t="s">
        <v>47</v>
      </c>
      <c r="I12" s="13" t="n">
        <v>100</v>
      </c>
      <c r="J12" s="11" t="s">
        <v>136</v>
      </c>
      <c r="K12" s="11" t="s">
        <v>100</v>
      </c>
      <c r="L12" s="11"/>
      <c r="M12" s="14" t="str">
        <f aca="true">IF(D12="","",IF(H12="Completed","Completed",IF(H12="Blocked","Blocked",IF(H12="Delayed","Delayed",IF(AND(G12&lt;&gt;"",G12&lt;TODAY(),H12&lt;&gt;"Completed"),"Overdue","On Track")))))</f>
        <v>Completed</v>
      </c>
    </row>
    <row r="13" customFormat="false" ht="14.25" hidden="false" customHeight="true" outlineLevel="0" collapsed="false">
      <c r="A13" s="11" t="s">
        <v>137</v>
      </c>
      <c r="B13" s="11" t="s">
        <v>32</v>
      </c>
      <c r="C13" s="11" t="s">
        <v>118</v>
      </c>
      <c r="D13" s="11" t="s">
        <v>138</v>
      </c>
      <c r="E13" s="11" t="s">
        <v>115</v>
      </c>
      <c r="F13" s="12" t="n">
        <v>46258</v>
      </c>
      <c r="G13" s="12" t="n">
        <v>46259</v>
      </c>
      <c r="H13" s="11" t="s">
        <v>47</v>
      </c>
      <c r="I13" s="13" t="n">
        <v>100</v>
      </c>
      <c r="J13" s="11" t="s">
        <v>139</v>
      </c>
      <c r="K13" s="11" t="s">
        <v>100</v>
      </c>
      <c r="L13" s="11"/>
      <c r="M13" s="14" t="str">
        <f aca="true">IF(D13="","",IF(H13="Completed","Completed",IF(H13="Blocked","Blocked",IF(H13="Delayed","Delayed",IF(AND(G13&lt;&gt;"",G13&lt;TODAY(),H13&lt;&gt;"Completed"),"Overdue","On Track")))))</f>
        <v>Completed</v>
      </c>
    </row>
    <row r="14" customFormat="false" ht="14.25" hidden="false" customHeight="true" outlineLevel="0" collapsed="false">
      <c r="A14" s="11"/>
      <c r="B14" s="11"/>
      <c r="C14" s="11"/>
      <c r="D14" s="11"/>
      <c r="E14" s="11"/>
      <c r="F14" s="12"/>
      <c r="G14" s="12"/>
      <c r="H14" s="11"/>
      <c r="I14" s="13"/>
      <c r="J14" s="11"/>
      <c r="K14" s="11"/>
      <c r="L14" s="11"/>
      <c r="M14" s="14" t="str">
        <f aca="true">IF(D14="","",IF(H14="Completed","Completed",IF(H14="Blocked","Blocked",IF(H14="Delayed","Delayed",IF(AND(G14&lt;&gt;"",G14&lt;TODAY(),H14&lt;&gt;"Completed"),"Overdue","On Track")))))</f>
        <v/>
      </c>
    </row>
    <row r="15" customFormat="false" ht="14.25" hidden="false" customHeight="true" outlineLevel="0" collapsed="false">
      <c r="A15" s="11"/>
      <c r="B15" s="11"/>
      <c r="C15" s="11"/>
      <c r="D15" s="11"/>
      <c r="E15" s="11"/>
      <c r="F15" s="12"/>
      <c r="G15" s="12"/>
      <c r="H15" s="11"/>
      <c r="I15" s="13"/>
      <c r="J15" s="11"/>
      <c r="K15" s="11"/>
      <c r="L15" s="11"/>
      <c r="M15" s="14" t="str">
        <f aca="true">IF(D15="","",IF(H15="Completed","Completed",IF(H15="Blocked","Blocked",IF(H15="Delayed","Delayed",IF(AND(G15&lt;&gt;"",G15&lt;TODAY(),H15&lt;&gt;"Completed"),"Overdue","On Track")))))</f>
        <v/>
      </c>
    </row>
    <row r="16" customFormat="false" ht="14.25" hidden="false" customHeight="true" outlineLevel="0" collapsed="false">
      <c r="A16" s="11"/>
      <c r="B16" s="11"/>
      <c r="C16" s="11"/>
      <c r="D16" s="11"/>
      <c r="E16" s="11"/>
      <c r="F16" s="12"/>
      <c r="G16" s="12"/>
      <c r="H16" s="11"/>
      <c r="I16" s="13"/>
      <c r="J16" s="11"/>
      <c r="K16" s="11"/>
      <c r="L16" s="11"/>
      <c r="M16" s="14" t="str">
        <f aca="true">IF(D16="","",IF(H16="Completed","Completed",IF(H16="Blocked","Blocked",IF(H16="Delayed","Delayed",IF(AND(G16&lt;&gt;"",G16&lt;TODAY(),H16&lt;&gt;"Completed"),"Overdue","On Track")))))</f>
        <v/>
      </c>
    </row>
    <row r="17" customFormat="false" ht="14.25" hidden="false" customHeight="true" outlineLevel="0" collapsed="false">
      <c r="A17" s="11"/>
      <c r="B17" s="11"/>
      <c r="C17" s="11"/>
      <c r="D17" s="11"/>
      <c r="E17" s="11"/>
      <c r="F17" s="12"/>
      <c r="G17" s="12"/>
      <c r="H17" s="11"/>
      <c r="I17" s="13"/>
      <c r="J17" s="11"/>
      <c r="K17" s="11"/>
      <c r="L17" s="11"/>
      <c r="M17" s="14" t="str">
        <f aca="true">IF(D17="","",IF(H17="Completed","Completed",IF(H17="Blocked","Blocked",IF(H17="Delayed","Delayed",IF(AND(G17&lt;&gt;"",G17&lt;TODAY(),H17&lt;&gt;"Completed"),"Overdue","On Track")))))</f>
        <v/>
      </c>
    </row>
    <row r="18" customFormat="false" ht="14.25" hidden="false" customHeight="true" outlineLevel="0" collapsed="false">
      <c r="A18" s="11"/>
      <c r="B18" s="11"/>
      <c r="C18" s="11"/>
      <c r="D18" s="11"/>
      <c r="E18" s="11"/>
      <c r="F18" s="12"/>
      <c r="G18" s="12"/>
      <c r="H18" s="11"/>
      <c r="I18" s="13"/>
      <c r="J18" s="11"/>
      <c r="K18" s="11"/>
      <c r="L18" s="11"/>
      <c r="M18" s="14" t="str">
        <f aca="true">IF(D18="","",IF(H18="Completed","Completed",IF(H18="Blocked","Blocked",IF(H18="Delayed","Delayed",IF(AND(G18&lt;&gt;"",G18&lt;TODAY(),H18&lt;&gt;"Completed"),"Overdue","On Track")))))</f>
        <v/>
      </c>
    </row>
    <row r="19" customFormat="false" ht="14.25" hidden="false" customHeight="true" outlineLevel="0" collapsed="false">
      <c r="A19" s="11"/>
      <c r="B19" s="11"/>
      <c r="C19" s="11"/>
      <c r="D19" s="11"/>
      <c r="E19" s="11"/>
      <c r="F19" s="12"/>
      <c r="G19" s="12"/>
      <c r="H19" s="11"/>
      <c r="I19" s="13"/>
      <c r="J19" s="11"/>
      <c r="K19" s="11"/>
      <c r="L19" s="11"/>
      <c r="M19" s="14" t="str">
        <f aca="true">IF(D19="","",IF(H19="Completed","Completed",IF(H19="Blocked","Blocked",IF(H19="Delayed","Delayed",IF(AND(G19&lt;&gt;"",G19&lt;TODAY(),H19&lt;&gt;"Completed"),"Overdue","On Track")))))</f>
        <v/>
      </c>
    </row>
    <row r="20" customFormat="false" ht="14.25" hidden="false" customHeight="true" outlineLevel="0" collapsed="false">
      <c r="A20" s="11"/>
      <c r="B20" s="11"/>
      <c r="C20" s="11"/>
      <c r="D20" s="11"/>
      <c r="E20" s="11"/>
      <c r="F20" s="12"/>
      <c r="G20" s="12"/>
      <c r="H20" s="11"/>
      <c r="I20" s="13"/>
      <c r="J20" s="11"/>
      <c r="K20" s="11"/>
      <c r="L20" s="11"/>
      <c r="M20" s="14" t="str">
        <f aca="true">IF(D20="","",IF(H20="Completed","Completed",IF(H20="Blocked","Blocked",IF(H20="Delayed","Delayed",IF(AND(G20&lt;&gt;"",G20&lt;TODAY(),H20&lt;&gt;"Completed"),"Overdue","On Track")))))</f>
        <v/>
      </c>
    </row>
    <row r="21" customFormat="false" ht="14.25" hidden="false" customHeight="true" outlineLevel="0" collapsed="false">
      <c r="A21" s="11"/>
      <c r="B21" s="11"/>
      <c r="C21" s="11"/>
      <c r="D21" s="11"/>
      <c r="E21" s="11"/>
      <c r="F21" s="12"/>
      <c r="G21" s="12"/>
      <c r="H21" s="11"/>
      <c r="I21" s="13"/>
      <c r="J21" s="11"/>
      <c r="K21" s="11"/>
      <c r="L21" s="11"/>
      <c r="M21" s="14" t="str">
        <f aca="true">IF(D21="","",IF(H21="Completed","Completed",IF(H21="Blocked","Blocked",IF(H21="Delayed","Delayed",IF(AND(G21&lt;&gt;"",G21&lt;TODAY(),H21&lt;&gt;"Completed"),"Overdue","On Track")))))</f>
        <v/>
      </c>
    </row>
    <row r="22" customFormat="false" ht="14.25" hidden="false" customHeight="true" outlineLevel="0" collapsed="false">
      <c r="A22" s="11"/>
      <c r="B22" s="11"/>
      <c r="C22" s="11"/>
      <c r="D22" s="11"/>
      <c r="E22" s="11"/>
      <c r="F22" s="12"/>
      <c r="G22" s="12"/>
      <c r="H22" s="11"/>
      <c r="I22" s="13"/>
      <c r="J22" s="11"/>
      <c r="K22" s="11"/>
      <c r="L22" s="11"/>
      <c r="M22" s="14" t="str">
        <f aca="true">IF(D22="","",IF(H22="Completed","Completed",IF(H22="Blocked","Blocked",IF(H22="Delayed","Delayed",IF(AND(G22&lt;&gt;"",G22&lt;TODAY(),H22&lt;&gt;"Completed"),"Overdue","On Track")))))</f>
        <v/>
      </c>
    </row>
    <row r="23" customFormat="false" ht="14.25" hidden="false" customHeight="true" outlineLevel="0" collapsed="false">
      <c r="A23" s="11"/>
      <c r="B23" s="11"/>
      <c r="C23" s="11"/>
      <c r="D23" s="11"/>
      <c r="E23" s="11"/>
      <c r="F23" s="12"/>
      <c r="G23" s="12"/>
      <c r="H23" s="11"/>
      <c r="I23" s="13"/>
      <c r="J23" s="11"/>
      <c r="K23" s="11"/>
      <c r="L23" s="11"/>
      <c r="M23" s="14" t="str">
        <f aca="true">IF(D23="","",IF(H23="Completed","Completed",IF(H23="Blocked","Blocked",IF(H23="Delayed","Delayed",IF(AND(G23&lt;&gt;"",G23&lt;TODAY(),H23&lt;&gt;"Completed"),"Overdue","On Track")))))</f>
        <v/>
      </c>
    </row>
    <row r="24" customFormat="false" ht="14.25" hidden="false" customHeight="true" outlineLevel="0" collapsed="false">
      <c r="A24" s="11"/>
      <c r="B24" s="11"/>
      <c r="C24" s="11"/>
      <c r="D24" s="11"/>
      <c r="E24" s="11"/>
      <c r="F24" s="12"/>
      <c r="G24" s="12"/>
      <c r="H24" s="11"/>
      <c r="I24" s="13"/>
      <c r="J24" s="11"/>
      <c r="K24" s="11"/>
      <c r="L24" s="11"/>
      <c r="M24" s="14" t="str">
        <f aca="true">IF(D24="","",IF(H24="Completed","Completed",IF(H24="Blocked","Blocked",IF(H24="Delayed","Delayed",IF(AND(G24&lt;&gt;"",G24&lt;TODAY(),H24&lt;&gt;"Completed"),"Overdue","On Track")))))</f>
        <v/>
      </c>
    </row>
    <row r="25" customFormat="false" ht="14.25" hidden="false" customHeight="true" outlineLevel="0" collapsed="false">
      <c r="A25" s="11"/>
      <c r="B25" s="11"/>
      <c r="C25" s="11"/>
      <c r="D25" s="11"/>
      <c r="E25" s="11"/>
      <c r="F25" s="12"/>
      <c r="G25" s="12"/>
      <c r="H25" s="11"/>
      <c r="I25" s="13"/>
      <c r="J25" s="11"/>
      <c r="K25" s="11"/>
      <c r="L25" s="11"/>
      <c r="M25" s="14" t="str">
        <f aca="true">IF(D25="","",IF(H25="Completed","Completed",IF(H25="Blocked","Blocked",IF(H25="Delayed","Delayed",IF(AND(G25&lt;&gt;"",G25&lt;TODAY(),H25&lt;&gt;"Completed"),"Overdue","On Track")))))</f>
        <v/>
      </c>
    </row>
    <row r="26" customFormat="false" ht="14.25" hidden="false" customHeight="true" outlineLevel="0" collapsed="false">
      <c r="A26" s="11"/>
      <c r="B26" s="11"/>
      <c r="C26" s="11"/>
      <c r="D26" s="11"/>
      <c r="E26" s="11"/>
      <c r="F26" s="12"/>
      <c r="G26" s="12"/>
      <c r="H26" s="11"/>
      <c r="I26" s="13"/>
      <c r="J26" s="11"/>
      <c r="K26" s="11"/>
      <c r="L26" s="11"/>
      <c r="M26" s="14" t="str">
        <f aca="true">IF(D26="","",IF(H26="Completed","Completed",IF(H26="Blocked","Blocked",IF(H26="Delayed","Delayed",IF(AND(G26&lt;&gt;"",G26&lt;TODAY(),H26&lt;&gt;"Completed"),"Overdue","On Track")))))</f>
        <v/>
      </c>
    </row>
    <row r="27" customFormat="false" ht="14.25" hidden="false" customHeight="true" outlineLevel="0" collapsed="false">
      <c r="A27" s="11"/>
      <c r="B27" s="11"/>
      <c r="C27" s="11"/>
      <c r="D27" s="11"/>
      <c r="E27" s="11"/>
      <c r="F27" s="12"/>
      <c r="G27" s="12"/>
      <c r="H27" s="11"/>
      <c r="I27" s="13"/>
      <c r="J27" s="11"/>
      <c r="K27" s="11"/>
      <c r="L27" s="11"/>
      <c r="M27" s="14" t="str">
        <f aca="true">IF(D27="","",IF(H27="Completed","Completed",IF(H27="Blocked","Blocked",IF(H27="Delayed","Delayed",IF(AND(G27&lt;&gt;"",G27&lt;TODAY(),H27&lt;&gt;"Completed"),"Overdue","On Track")))))</f>
        <v/>
      </c>
    </row>
    <row r="28" customFormat="false" ht="14.25" hidden="false" customHeight="true" outlineLevel="0" collapsed="false">
      <c r="A28" s="11"/>
      <c r="B28" s="11"/>
      <c r="C28" s="11"/>
      <c r="D28" s="11"/>
      <c r="E28" s="11"/>
      <c r="F28" s="12"/>
      <c r="G28" s="12"/>
      <c r="H28" s="11"/>
      <c r="I28" s="13"/>
      <c r="J28" s="11"/>
      <c r="K28" s="11"/>
      <c r="L28" s="11"/>
      <c r="M28" s="14" t="str">
        <f aca="true">IF(D28="","",IF(H28="Completed","Completed",IF(H28="Blocked","Blocked",IF(H28="Delayed","Delayed",IF(AND(G28&lt;&gt;"",G28&lt;TODAY(),H28&lt;&gt;"Completed"),"Overdue","On Track")))))</f>
        <v/>
      </c>
    </row>
    <row r="29" customFormat="false" ht="14.25" hidden="false" customHeight="true" outlineLevel="0" collapsed="false">
      <c r="A29" s="11"/>
      <c r="B29" s="11"/>
      <c r="C29" s="11"/>
      <c r="D29" s="11"/>
      <c r="E29" s="11"/>
      <c r="F29" s="12"/>
      <c r="G29" s="12"/>
      <c r="H29" s="11"/>
      <c r="I29" s="13"/>
      <c r="J29" s="11"/>
      <c r="K29" s="11"/>
      <c r="L29" s="11"/>
      <c r="M29" s="14" t="str">
        <f aca="true">IF(D29="","",IF(H29="Completed","Completed",IF(H29="Blocked","Blocked",IF(H29="Delayed","Delayed",IF(AND(G29&lt;&gt;"",G29&lt;TODAY(),H29&lt;&gt;"Completed"),"Overdue","On Track")))))</f>
        <v/>
      </c>
    </row>
    <row r="30" customFormat="false" ht="14.25" hidden="false" customHeight="true" outlineLevel="0" collapsed="false">
      <c r="A30" s="11"/>
      <c r="B30" s="11"/>
      <c r="C30" s="11"/>
      <c r="D30" s="11"/>
      <c r="E30" s="11"/>
      <c r="F30" s="12"/>
      <c r="G30" s="12"/>
      <c r="H30" s="11"/>
      <c r="I30" s="13"/>
      <c r="J30" s="11"/>
      <c r="K30" s="11"/>
      <c r="L30" s="11"/>
      <c r="M30" s="14" t="str">
        <f aca="true">IF(D30="","",IF(H30="Completed","Completed",IF(H30="Blocked","Blocked",IF(H30="Delayed","Delayed",IF(AND(G30&lt;&gt;"",G30&lt;TODAY(),H30&lt;&gt;"Completed"),"Overdue","On Track")))))</f>
        <v/>
      </c>
    </row>
    <row r="31" customFormat="false" ht="14.25" hidden="false" customHeight="true" outlineLevel="0" collapsed="false">
      <c r="A31" s="11"/>
      <c r="B31" s="11"/>
      <c r="C31" s="11"/>
      <c r="D31" s="11"/>
      <c r="E31" s="11"/>
      <c r="F31" s="12"/>
      <c r="G31" s="12"/>
      <c r="H31" s="11"/>
      <c r="I31" s="13"/>
      <c r="J31" s="11"/>
      <c r="K31" s="11"/>
      <c r="L31" s="11"/>
      <c r="M31" s="14" t="str">
        <f aca="true">IF(D31="","",IF(H31="Completed","Completed",IF(H31="Blocked","Blocked",IF(H31="Delayed","Delayed",IF(AND(G31&lt;&gt;"",G31&lt;TODAY(),H31&lt;&gt;"Completed"),"Overdue","On Track")))))</f>
        <v/>
      </c>
    </row>
    <row r="32" customFormat="false" ht="14.25" hidden="false" customHeight="true" outlineLevel="0" collapsed="false">
      <c r="A32" s="11"/>
      <c r="B32" s="11"/>
      <c r="C32" s="11"/>
      <c r="D32" s="11"/>
      <c r="E32" s="11"/>
      <c r="F32" s="12"/>
      <c r="G32" s="12"/>
      <c r="H32" s="11"/>
      <c r="I32" s="13"/>
      <c r="J32" s="11"/>
      <c r="K32" s="11"/>
      <c r="L32" s="11"/>
      <c r="M32" s="14" t="str">
        <f aca="true">IF(D32="","",IF(H32="Completed","Completed",IF(H32="Blocked","Blocked",IF(H32="Delayed","Delayed",IF(AND(G32&lt;&gt;"",G32&lt;TODAY(),H32&lt;&gt;"Completed"),"Overdue","On Track")))))</f>
        <v/>
      </c>
    </row>
    <row r="33" customFormat="false" ht="14.25" hidden="false" customHeight="true" outlineLevel="0" collapsed="false">
      <c r="A33" s="11"/>
      <c r="B33" s="11"/>
      <c r="C33" s="11"/>
      <c r="D33" s="11"/>
      <c r="E33" s="11"/>
      <c r="F33" s="12"/>
      <c r="G33" s="12"/>
      <c r="H33" s="11"/>
      <c r="I33" s="13"/>
      <c r="J33" s="11"/>
      <c r="K33" s="11"/>
      <c r="L33" s="11"/>
      <c r="M33" s="14" t="str">
        <f aca="true">IF(D33="","",IF(H33="Completed","Completed",IF(H33="Blocked","Blocked",IF(H33="Delayed","Delayed",IF(AND(G33&lt;&gt;"",G33&lt;TODAY(),H33&lt;&gt;"Completed"),"Overdue","On Track")))))</f>
        <v/>
      </c>
    </row>
    <row r="34" customFormat="false" ht="14.25" hidden="false" customHeight="true" outlineLevel="0" collapsed="false">
      <c r="A34" s="11"/>
      <c r="B34" s="11"/>
      <c r="C34" s="11"/>
      <c r="D34" s="11"/>
      <c r="E34" s="11"/>
      <c r="F34" s="12"/>
      <c r="G34" s="12"/>
      <c r="H34" s="11"/>
      <c r="I34" s="13"/>
      <c r="J34" s="11"/>
      <c r="K34" s="11"/>
      <c r="L34" s="11"/>
      <c r="M34" s="14" t="str">
        <f aca="true">IF(D34="","",IF(H34="Completed","Completed",IF(H34="Blocked","Blocked",IF(H34="Delayed","Delayed",IF(AND(G34&lt;&gt;"",G34&lt;TODAY(),H34&lt;&gt;"Completed"),"Overdue","On Track")))))</f>
        <v/>
      </c>
    </row>
    <row r="35" customFormat="false" ht="14.25" hidden="false" customHeight="true" outlineLevel="0" collapsed="false">
      <c r="A35" s="11"/>
      <c r="B35" s="11"/>
      <c r="C35" s="11"/>
      <c r="D35" s="11"/>
      <c r="E35" s="11"/>
      <c r="F35" s="12"/>
      <c r="G35" s="12"/>
      <c r="H35" s="11"/>
      <c r="I35" s="13"/>
      <c r="J35" s="11"/>
      <c r="K35" s="11"/>
      <c r="L35" s="11"/>
      <c r="M35" s="14" t="str">
        <f aca="true">IF(D35="","",IF(H35="Completed","Completed",IF(H35="Blocked","Blocked",IF(H35="Delayed","Delayed",IF(AND(G35&lt;&gt;"",G35&lt;TODAY(),H35&lt;&gt;"Completed"),"Overdue","On Track")))))</f>
        <v/>
      </c>
    </row>
    <row r="36" customFormat="false" ht="14.25" hidden="false" customHeight="true" outlineLevel="0" collapsed="false">
      <c r="A36" s="11"/>
      <c r="B36" s="11"/>
      <c r="C36" s="11"/>
      <c r="D36" s="11"/>
      <c r="E36" s="11"/>
      <c r="F36" s="12"/>
      <c r="G36" s="12"/>
      <c r="H36" s="11"/>
      <c r="I36" s="13"/>
      <c r="J36" s="11"/>
      <c r="K36" s="11"/>
      <c r="L36" s="11"/>
      <c r="M36" s="14" t="str">
        <f aca="true">IF(D36="","",IF(H36="Completed","Completed",IF(H36="Blocked","Blocked",IF(H36="Delayed","Delayed",IF(AND(G36&lt;&gt;"",G36&lt;TODAY(),H36&lt;&gt;"Completed"),"Overdue","On Track")))))</f>
        <v/>
      </c>
    </row>
    <row r="37" customFormat="false" ht="14.25" hidden="false" customHeight="true" outlineLevel="0" collapsed="false">
      <c r="A37" s="11"/>
      <c r="B37" s="11"/>
      <c r="C37" s="11"/>
      <c r="D37" s="11"/>
      <c r="E37" s="11"/>
      <c r="F37" s="12"/>
      <c r="G37" s="12"/>
      <c r="H37" s="11"/>
      <c r="I37" s="13"/>
      <c r="J37" s="11"/>
      <c r="K37" s="11"/>
      <c r="L37" s="11"/>
      <c r="M37" s="14" t="str">
        <f aca="true">IF(D37="","",IF(H37="Completed","Completed",IF(H37="Blocked","Blocked",IF(H37="Delayed","Delayed",IF(AND(G37&lt;&gt;"",G37&lt;TODAY(),H37&lt;&gt;"Completed"),"Overdue","On Track")))))</f>
        <v/>
      </c>
    </row>
    <row r="38" customFormat="false" ht="14.25" hidden="false" customHeight="true" outlineLevel="0" collapsed="false">
      <c r="A38" s="11"/>
      <c r="B38" s="11"/>
      <c r="C38" s="11"/>
      <c r="D38" s="11"/>
      <c r="E38" s="11"/>
      <c r="F38" s="12"/>
      <c r="G38" s="12"/>
      <c r="H38" s="11"/>
      <c r="I38" s="13"/>
      <c r="J38" s="11"/>
      <c r="K38" s="11"/>
      <c r="L38" s="11"/>
      <c r="M38" s="14" t="str">
        <f aca="true">IF(D38="","",IF(H38="Completed","Completed",IF(H38="Blocked","Blocked",IF(H38="Delayed","Delayed",IF(AND(G38&lt;&gt;"",G38&lt;TODAY(),H38&lt;&gt;"Completed"),"Overdue","On Track")))))</f>
        <v/>
      </c>
    </row>
    <row r="39" customFormat="false" ht="14.25" hidden="false" customHeight="true" outlineLevel="0" collapsed="false">
      <c r="A39" s="11"/>
      <c r="B39" s="11"/>
      <c r="C39" s="11"/>
      <c r="D39" s="11"/>
      <c r="E39" s="11"/>
      <c r="F39" s="12"/>
      <c r="G39" s="12"/>
      <c r="H39" s="11"/>
      <c r="I39" s="13"/>
      <c r="J39" s="11"/>
      <c r="K39" s="11"/>
      <c r="L39" s="11"/>
      <c r="M39" s="14" t="str">
        <f aca="true">IF(D39="","",IF(H39="Completed","Completed",IF(H39="Blocked","Blocked",IF(H39="Delayed","Delayed",IF(AND(G39&lt;&gt;"",G39&lt;TODAY(),H39&lt;&gt;"Completed"),"Overdue","On Track")))))</f>
        <v/>
      </c>
    </row>
    <row r="40" customFormat="false" ht="14.25" hidden="false" customHeight="true" outlineLevel="0" collapsed="false">
      <c r="A40" s="11"/>
      <c r="B40" s="11"/>
      <c r="C40" s="11"/>
      <c r="D40" s="11"/>
      <c r="E40" s="11"/>
      <c r="F40" s="12"/>
      <c r="G40" s="12"/>
      <c r="H40" s="11"/>
      <c r="I40" s="13"/>
      <c r="J40" s="11"/>
      <c r="K40" s="11"/>
      <c r="L40" s="11"/>
      <c r="M40" s="14" t="str">
        <f aca="true">IF(D40="","",IF(H40="Completed","Completed",IF(H40="Blocked","Blocked",IF(H40="Delayed","Delayed",IF(AND(G40&lt;&gt;"",G40&lt;TODAY(),H40&lt;&gt;"Completed"),"Overdue","On Track")))))</f>
        <v/>
      </c>
    </row>
    <row r="41" customFormat="false" ht="14.25" hidden="false" customHeight="true" outlineLevel="0" collapsed="false">
      <c r="A41" s="11"/>
      <c r="B41" s="11"/>
      <c r="C41" s="11"/>
      <c r="D41" s="11"/>
      <c r="E41" s="11"/>
      <c r="F41" s="12"/>
      <c r="G41" s="12"/>
      <c r="H41" s="11"/>
      <c r="I41" s="13"/>
      <c r="J41" s="11"/>
      <c r="K41" s="11"/>
      <c r="L41" s="11"/>
      <c r="M41" s="14" t="str">
        <f aca="true">IF(D41="","",IF(H41="Completed","Completed",IF(H41="Blocked","Blocked",IF(H41="Delayed","Delayed",IF(AND(G41&lt;&gt;"",G41&lt;TODAY(),H41&lt;&gt;"Completed"),"Overdue","On Track")))))</f>
        <v/>
      </c>
    </row>
    <row r="42" customFormat="false" ht="14.25" hidden="false" customHeight="true" outlineLevel="0" collapsed="false">
      <c r="A42" s="11"/>
      <c r="B42" s="11"/>
      <c r="C42" s="11"/>
      <c r="D42" s="11"/>
      <c r="E42" s="11"/>
      <c r="F42" s="12"/>
      <c r="G42" s="12"/>
      <c r="H42" s="11"/>
      <c r="I42" s="13"/>
      <c r="J42" s="11"/>
      <c r="K42" s="11"/>
      <c r="L42" s="11"/>
      <c r="M42" s="14" t="str">
        <f aca="true">IF(D42="","",IF(H42="Completed","Completed",IF(H42="Blocked","Blocked",IF(H42="Delayed","Delayed",IF(AND(G42&lt;&gt;"",G42&lt;TODAY(),H42&lt;&gt;"Completed"),"Overdue","On Track")))))</f>
        <v/>
      </c>
    </row>
    <row r="43" customFormat="false" ht="14.25" hidden="false" customHeight="true" outlineLevel="0" collapsed="false">
      <c r="A43" s="11"/>
      <c r="B43" s="11"/>
      <c r="C43" s="11"/>
      <c r="D43" s="11"/>
      <c r="E43" s="11"/>
      <c r="F43" s="12"/>
      <c r="G43" s="12"/>
      <c r="H43" s="11"/>
      <c r="I43" s="13"/>
      <c r="J43" s="11"/>
      <c r="K43" s="11"/>
      <c r="L43" s="11"/>
      <c r="M43" s="14" t="str">
        <f aca="true">IF(D43="","",IF(H43="Completed","Completed",IF(H43="Blocked","Blocked",IF(H43="Delayed","Delayed",IF(AND(G43&lt;&gt;"",G43&lt;TODAY(),H43&lt;&gt;"Completed"),"Overdue","On Track")))))</f>
        <v/>
      </c>
    </row>
    <row r="44" customFormat="false" ht="14.25" hidden="false" customHeight="true" outlineLevel="0" collapsed="false">
      <c r="A44" s="11"/>
      <c r="B44" s="11"/>
      <c r="C44" s="11"/>
      <c r="D44" s="11"/>
      <c r="E44" s="11"/>
      <c r="F44" s="12"/>
      <c r="G44" s="12"/>
      <c r="H44" s="11"/>
      <c r="I44" s="13"/>
      <c r="J44" s="11"/>
      <c r="K44" s="11"/>
      <c r="L44" s="11"/>
      <c r="M44" s="14" t="str">
        <f aca="true">IF(D44="","",IF(H44="Completed","Completed",IF(H44="Blocked","Blocked",IF(H44="Delayed","Delayed",IF(AND(G44&lt;&gt;"",G44&lt;TODAY(),H44&lt;&gt;"Completed"),"Overdue","On Track")))))</f>
        <v/>
      </c>
    </row>
    <row r="45" customFormat="false" ht="14.25" hidden="false" customHeight="true" outlineLevel="0" collapsed="false">
      <c r="A45" s="11"/>
      <c r="B45" s="11"/>
      <c r="C45" s="11"/>
      <c r="D45" s="11"/>
      <c r="E45" s="11"/>
      <c r="F45" s="12"/>
      <c r="G45" s="12"/>
      <c r="H45" s="11"/>
      <c r="I45" s="13"/>
      <c r="J45" s="11"/>
      <c r="K45" s="11"/>
      <c r="L45" s="11"/>
      <c r="M45" s="14" t="str">
        <f aca="true">IF(D45="","",IF(H45="Completed","Completed",IF(H45="Blocked","Blocked",IF(H45="Delayed","Delayed",IF(AND(G45&lt;&gt;"",G45&lt;TODAY(),H45&lt;&gt;"Completed"),"Overdue","On Track")))))</f>
        <v/>
      </c>
    </row>
    <row r="46" customFormat="false" ht="14.25" hidden="false" customHeight="true" outlineLevel="0" collapsed="false">
      <c r="A46" s="11"/>
      <c r="B46" s="11"/>
      <c r="C46" s="11"/>
      <c r="D46" s="11"/>
      <c r="E46" s="11"/>
      <c r="F46" s="12"/>
      <c r="G46" s="12"/>
      <c r="H46" s="11"/>
      <c r="I46" s="13"/>
      <c r="J46" s="11"/>
      <c r="K46" s="11"/>
      <c r="L46" s="11"/>
      <c r="M46" s="14" t="str">
        <f aca="true">IF(D46="","",IF(H46="Completed","Completed",IF(H46="Blocked","Blocked",IF(H46="Delayed","Delayed",IF(AND(G46&lt;&gt;"",G46&lt;TODAY(),H46&lt;&gt;"Completed"),"Overdue","On Track")))))</f>
        <v/>
      </c>
    </row>
    <row r="47" customFormat="false" ht="14.25" hidden="false" customHeight="true" outlineLevel="0" collapsed="false">
      <c r="A47" s="11"/>
      <c r="B47" s="11"/>
      <c r="C47" s="11"/>
      <c r="D47" s="11"/>
      <c r="E47" s="11"/>
      <c r="F47" s="12"/>
      <c r="G47" s="12"/>
      <c r="H47" s="11"/>
      <c r="I47" s="13"/>
      <c r="J47" s="11"/>
      <c r="K47" s="11"/>
      <c r="L47" s="11"/>
      <c r="M47" s="14" t="str">
        <f aca="true">IF(D47="","",IF(H47="Completed","Completed",IF(H47="Blocked","Blocked",IF(H47="Delayed","Delayed",IF(AND(G47&lt;&gt;"",G47&lt;TODAY(),H47&lt;&gt;"Completed"),"Overdue","On Track")))))</f>
        <v/>
      </c>
    </row>
    <row r="48" customFormat="false" ht="14.25" hidden="false" customHeight="true" outlineLevel="0" collapsed="false">
      <c r="A48" s="11"/>
      <c r="B48" s="11"/>
      <c r="C48" s="11"/>
      <c r="D48" s="11"/>
      <c r="E48" s="11"/>
      <c r="F48" s="12"/>
      <c r="G48" s="12"/>
      <c r="H48" s="11"/>
      <c r="I48" s="13"/>
      <c r="J48" s="11"/>
      <c r="K48" s="11"/>
      <c r="L48" s="11"/>
      <c r="M48" s="14" t="str">
        <f aca="true">IF(D48="","",IF(H48="Completed","Completed",IF(H48="Blocked","Blocked",IF(H48="Delayed","Delayed",IF(AND(G48&lt;&gt;"",G48&lt;TODAY(),H48&lt;&gt;"Completed"),"Overdue","On Track")))))</f>
        <v/>
      </c>
    </row>
    <row r="49" customFormat="false" ht="14.25" hidden="false" customHeight="true" outlineLevel="0" collapsed="false">
      <c r="A49" s="11"/>
      <c r="B49" s="11"/>
      <c r="C49" s="11"/>
      <c r="D49" s="11"/>
      <c r="E49" s="11"/>
      <c r="F49" s="12"/>
      <c r="G49" s="12"/>
      <c r="H49" s="11"/>
      <c r="I49" s="13"/>
      <c r="J49" s="11"/>
      <c r="K49" s="11"/>
      <c r="L49" s="11"/>
      <c r="M49" s="14" t="str">
        <f aca="true">IF(D49="","",IF(H49="Completed","Completed",IF(H49="Blocked","Blocked",IF(H49="Delayed","Delayed",IF(AND(G49&lt;&gt;"",G49&lt;TODAY(),H49&lt;&gt;"Completed"),"Overdue","On Track")))))</f>
        <v/>
      </c>
    </row>
    <row r="50" customFormat="false" ht="14.25" hidden="false" customHeight="true" outlineLevel="0" collapsed="false">
      <c r="A50" s="11"/>
      <c r="B50" s="11"/>
      <c r="C50" s="11"/>
      <c r="D50" s="11"/>
      <c r="E50" s="11"/>
      <c r="F50" s="12"/>
      <c r="G50" s="12"/>
      <c r="H50" s="11"/>
      <c r="I50" s="13"/>
      <c r="J50" s="11"/>
      <c r="K50" s="11"/>
      <c r="L50" s="11"/>
      <c r="M50" s="14" t="str">
        <f aca="true">IF(D50="","",IF(H50="Completed","Completed",IF(H50="Blocked","Blocked",IF(H50="Delayed","Delayed",IF(AND(G50&lt;&gt;"",G50&lt;TODAY(),H50&lt;&gt;"Completed"),"Overdue","On Track")))))</f>
        <v/>
      </c>
    </row>
    <row r="51" customFormat="false" ht="14.25" hidden="false" customHeight="true" outlineLevel="0" collapsed="false">
      <c r="A51" s="11"/>
      <c r="B51" s="11"/>
      <c r="C51" s="11"/>
      <c r="D51" s="11"/>
      <c r="E51" s="11"/>
      <c r="F51" s="12"/>
      <c r="G51" s="12"/>
      <c r="H51" s="11"/>
      <c r="I51" s="13"/>
      <c r="J51" s="11"/>
      <c r="K51" s="11"/>
      <c r="L51" s="11"/>
      <c r="M51" s="14" t="str">
        <f aca="true">IF(D51="","",IF(H51="Completed","Completed",IF(H51="Blocked","Blocked",IF(H51="Delayed","Delayed",IF(AND(G51&lt;&gt;"",G51&lt;TODAY(),H51&lt;&gt;"Completed"),"Overdue","On Track")))))</f>
        <v/>
      </c>
    </row>
    <row r="52" customFormat="false" ht="14.25" hidden="false" customHeight="true" outlineLevel="0" collapsed="false">
      <c r="A52" s="11"/>
      <c r="B52" s="11"/>
      <c r="C52" s="11"/>
      <c r="D52" s="11"/>
      <c r="E52" s="11"/>
      <c r="F52" s="12"/>
      <c r="G52" s="12"/>
      <c r="H52" s="11"/>
      <c r="I52" s="13"/>
      <c r="J52" s="11"/>
      <c r="K52" s="11"/>
      <c r="L52" s="11"/>
      <c r="M52" s="14" t="str">
        <f aca="true">IF(D52="","",IF(H52="Completed","Completed",IF(H52="Blocked","Blocked",IF(H52="Delayed","Delayed",IF(AND(G52&lt;&gt;"",G52&lt;TODAY(),H52&lt;&gt;"Completed"),"Overdue","On Track")))))</f>
        <v/>
      </c>
    </row>
    <row r="53" customFormat="false" ht="14.25" hidden="false" customHeight="true" outlineLevel="0" collapsed="false">
      <c r="A53" s="11"/>
      <c r="B53" s="11"/>
      <c r="C53" s="11"/>
      <c r="D53" s="11"/>
      <c r="E53" s="11"/>
      <c r="F53" s="12"/>
      <c r="G53" s="12"/>
      <c r="H53" s="11"/>
      <c r="I53" s="13"/>
      <c r="J53" s="11"/>
      <c r="K53" s="11"/>
      <c r="L53" s="11"/>
      <c r="M53" s="14" t="str">
        <f aca="true">IF(D53="","",IF(H53="Completed","Completed",IF(H53="Blocked","Blocked",IF(H53="Delayed","Delayed",IF(AND(G53&lt;&gt;"",G53&lt;TODAY(),H53&lt;&gt;"Completed"),"Overdue","On Track")))))</f>
        <v/>
      </c>
    </row>
    <row r="54" customFormat="false" ht="14.25" hidden="false" customHeight="true" outlineLevel="0" collapsed="false">
      <c r="A54" s="11"/>
      <c r="B54" s="11"/>
      <c r="C54" s="11"/>
      <c r="D54" s="11"/>
      <c r="E54" s="11"/>
      <c r="F54" s="12"/>
      <c r="G54" s="12"/>
      <c r="H54" s="11"/>
      <c r="I54" s="13"/>
      <c r="J54" s="11"/>
      <c r="K54" s="11"/>
      <c r="L54" s="11"/>
      <c r="M54" s="14" t="str">
        <f aca="true">IF(D54="","",IF(H54="Completed","Completed",IF(H54="Blocked","Blocked",IF(H54="Delayed","Delayed",IF(AND(G54&lt;&gt;"",G54&lt;TODAY(),H54&lt;&gt;"Completed"),"Overdue","On Track")))))</f>
        <v/>
      </c>
    </row>
    <row r="55" customFormat="false" ht="14.25" hidden="false" customHeight="true" outlineLevel="0" collapsed="false">
      <c r="A55" s="11"/>
      <c r="B55" s="11"/>
      <c r="C55" s="11"/>
      <c r="D55" s="11"/>
      <c r="E55" s="11"/>
      <c r="F55" s="12"/>
      <c r="G55" s="12"/>
      <c r="H55" s="11"/>
      <c r="I55" s="13"/>
      <c r="J55" s="11"/>
      <c r="K55" s="11"/>
      <c r="L55" s="11"/>
      <c r="M55" s="14" t="str">
        <f aca="true">IF(D55="","",IF(H55="Completed","Completed",IF(H55="Blocked","Blocked",IF(H55="Delayed","Delayed",IF(AND(G55&lt;&gt;"",G55&lt;TODAY(),H55&lt;&gt;"Completed"),"Overdue","On Track")))))</f>
        <v/>
      </c>
    </row>
    <row r="56" customFormat="false" ht="14.25" hidden="false" customHeight="true" outlineLevel="0" collapsed="false">
      <c r="A56" s="11"/>
      <c r="B56" s="11"/>
      <c r="C56" s="11"/>
      <c r="D56" s="11"/>
      <c r="E56" s="11"/>
      <c r="F56" s="12"/>
      <c r="G56" s="12"/>
      <c r="H56" s="11"/>
      <c r="I56" s="13"/>
      <c r="J56" s="11"/>
      <c r="K56" s="11"/>
      <c r="L56" s="11"/>
      <c r="M56" s="14" t="str">
        <f aca="true">IF(D56="","",IF(H56="Completed","Completed",IF(H56="Blocked","Blocked",IF(H56="Delayed","Delayed",IF(AND(G56&lt;&gt;"",G56&lt;TODAY(),H56&lt;&gt;"Completed"),"Overdue","On Track")))))</f>
        <v/>
      </c>
    </row>
    <row r="57" customFormat="false" ht="14.25" hidden="false" customHeight="true" outlineLevel="0" collapsed="false">
      <c r="A57" s="11"/>
      <c r="B57" s="11"/>
      <c r="C57" s="11"/>
      <c r="D57" s="11"/>
      <c r="E57" s="11"/>
      <c r="F57" s="12"/>
      <c r="G57" s="12"/>
      <c r="H57" s="11"/>
      <c r="I57" s="13"/>
      <c r="J57" s="11"/>
      <c r="K57" s="11"/>
      <c r="L57" s="11"/>
      <c r="M57" s="14" t="str">
        <f aca="true">IF(D57="","",IF(H57="Completed","Completed",IF(H57="Blocked","Blocked",IF(H57="Delayed","Delayed",IF(AND(G57&lt;&gt;"",G57&lt;TODAY(),H57&lt;&gt;"Completed"),"Overdue","On Track")))))</f>
        <v/>
      </c>
    </row>
    <row r="58" customFormat="false" ht="14.25" hidden="false" customHeight="true" outlineLevel="0" collapsed="false">
      <c r="A58" s="11"/>
      <c r="B58" s="11"/>
      <c r="C58" s="11"/>
      <c r="D58" s="11"/>
      <c r="E58" s="11"/>
      <c r="F58" s="12"/>
      <c r="G58" s="12"/>
      <c r="H58" s="11"/>
      <c r="I58" s="13"/>
      <c r="J58" s="11"/>
      <c r="K58" s="11"/>
      <c r="L58" s="11"/>
      <c r="M58" s="14" t="str">
        <f aca="true">IF(D58="","",IF(H58="Completed","Completed",IF(H58="Blocked","Blocked",IF(H58="Delayed","Delayed",IF(AND(G58&lt;&gt;"",G58&lt;TODAY(),H58&lt;&gt;"Completed"),"Overdue","On Track")))))</f>
        <v/>
      </c>
    </row>
    <row r="59" customFormat="false" ht="14.25" hidden="false" customHeight="true" outlineLevel="0" collapsed="false">
      <c r="A59" s="11"/>
      <c r="B59" s="11"/>
      <c r="C59" s="11"/>
      <c r="D59" s="11"/>
      <c r="E59" s="11"/>
      <c r="F59" s="12"/>
      <c r="G59" s="12"/>
      <c r="H59" s="11"/>
      <c r="I59" s="13"/>
      <c r="J59" s="11"/>
      <c r="K59" s="11"/>
      <c r="L59" s="11"/>
      <c r="M59" s="14" t="str">
        <f aca="true">IF(D59="","",IF(H59="Completed","Completed",IF(H59="Blocked","Blocked",IF(H59="Delayed","Delayed",IF(AND(G59&lt;&gt;"",G59&lt;TODAY(),H59&lt;&gt;"Completed"),"Overdue","On Track")))))</f>
        <v/>
      </c>
    </row>
    <row r="60" customFormat="false" ht="14.25" hidden="false" customHeight="true" outlineLevel="0" collapsed="false">
      <c r="A60" s="11"/>
      <c r="B60" s="11"/>
      <c r="C60" s="11"/>
      <c r="D60" s="11"/>
      <c r="E60" s="11"/>
      <c r="F60" s="12"/>
      <c r="G60" s="12"/>
      <c r="H60" s="11"/>
      <c r="I60" s="13"/>
      <c r="J60" s="11"/>
      <c r="K60" s="11"/>
      <c r="L60" s="11"/>
      <c r="M60" s="14" t="str">
        <f aca="true">IF(D60="","",IF(H60="Completed","Completed",IF(H60="Blocked","Blocked",IF(H60="Delayed","Delayed",IF(AND(G60&lt;&gt;"",G60&lt;TODAY(),H60&lt;&gt;"Completed"),"Overdue","On Track")))))</f>
        <v/>
      </c>
    </row>
    <row r="61" customFormat="false" ht="14.25" hidden="false" customHeight="true" outlineLevel="0" collapsed="false">
      <c r="A61" s="11"/>
      <c r="B61" s="11"/>
      <c r="C61" s="11"/>
      <c r="D61" s="11"/>
      <c r="E61" s="11"/>
      <c r="F61" s="12"/>
      <c r="G61" s="12"/>
      <c r="H61" s="11"/>
      <c r="I61" s="13"/>
      <c r="J61" s="11"/>
      <c r="K61" s="11"/>
      <c r="L61" s="11"/>
      <c r="M61" s="14" t="str">
        <f aca="true">IF(D61="","",IF(H61="Completed","Completed",IF(H61="Blocked","Blocked",IF(H61="Delayed","Delayed",IF(AND(G61&lt;&gt;"",G61&lt;TODAY(),H61&lt;&gt;"Completed"),"Overdue","On Track")))))</f>
        <v/>
      </c>
    </row>
    <row r="62" customFormat="false" ht="14.25" hidden="false" customHeight="true" outlineLevel="0" collapsed="false">
      <c r="A62" s="11"/>
      <c r="B62" s="11"/>
      <c r="C62" s="11"/>
      <c r="D62" s="11"/>
      <c r="E62" s="11"/>
      <c r="F62" s="12"/>
      <c r="G62" s="12"/>
      <c r="H62" s="11"/>
      <c r="I62" s="13"/>
      <c r="J62" s="11"/>
      <c r="K62" s="11"/>
      <c r="L62" s="11"/>
      <c r="M62" s="14" t="str">
        <f aca="true">IF(D62="","",IF(H62="Completed","Completed",IF(H62="Blocked","Blocked",IF(H62="Delayed","Delayed",IF(AND(G62&lt;&gt;"",G62&lt;TODAY(),H62&lt;&gt;"Completed"),"Overdue","On Track")))))</f>
        <v/>
      </c>
    </row>
    <row r="63" customFormat="false" ht="14.25" hidden="false" customHeight="true" outlineLevel="0" collapsed="false">
      <c r="A63" s="11"/>
      <c r="B63" s="11"/>
      <c r="C63" s="11"/>
      <c r="D63" s="11"/>
      <c r="E63" s="11"/>
      <c r="F63" s="12"/>
      <c r="G63" s="12"/>
      <c r="H63" s="11"/>
      <c r="I63" s="13"/>
      <c r="J63" s="11"/>
      <c r="K63" s="11"/>
      <c r="L63" s="11"/>
      <c r="M63" s="14" t="str">
        <f aca="true">IF(D63="","",IF(H63="Completed","Completed",IF(H63="Blocked","Blocked",IF(H63="Delayed","Delayed",IF(AND(G63&lt;&gt;"",G63&lt;TODAY(),H63&lt;&gt;"Completed"),"Overdue","On Track")))))</f>
        <v/>
      </c>
    </row>
    <row r="64" customFormat="false" ht="14.25" hidden="false" customHeight="true" outlineLevel="0" collapsed="false">
      <c r="A64" s="11"/>
      <c r="B64" s="11"/>
      <c r="C64" s="11"/>
      <c r="D64" s="11"/>
      <c r="E64" s="11"/>
      <c r="F64" s="12"/>
      <c r="G64" s="12"/>
      <c r="H64" s="11"/>
      <c r="I64" s="13"/>
      <c r="J64" s="11"/>
      <c r="K64" s="11"/>
      <c r="L64" s="11"/>
      <c r="M64" s="14" t="str">
        <f aca="true">IF(D64="","",IF(H64="Completed","Completed",IF(H64="Blocked","Blocked",IF(H64="Delayed","Delayed",IF(AND(G64&lt;&gt;"",G64&lt;TODAY(),H64&lt;&gt;"Completed"),"Overdue","On Track")))))</f>
        <v/>
      </c>
    </row>
    <row r="65" customFormat="false" ht="14.25" hidden="false" customHeight="true" outlineLevel="0" collapsed="false">
      <c r="A65" s="11"/>
      <c r="B65" s="11"/>
      <c r="C65" s="11"/>
      <c r="D65" s="11"/>
      <c r="E65" s="11"/>
      <c r="F65" s="12"/>
      <c r="G65" s="12"/>
      <c r="H65" s="11"/>
      <c r="I65" s="13"/>
      <c r="J65" s="11"/>
      <c r="K65" s="11"/>
      <c r="L65" s="11"/>
      <c r="M65" s="14" t="str">
        <f aca="true">IF(D65="","",IF(H65="Completed","Completed",IF(H65="Blocked","Blocked",IF(H65="Delayed","Delayed",IF(AND(G65&lt;&gt;"",G65&lt;TODAY(),H65&lt;&gt;"Completed"),"Overdue","On Track")))))</f>
        <v/>
      </c>
    </row>
    <row r="66" customFormat="false" ht="14.25" hidden="false" customHeight="true" outlineLevel="0" collapsed="false">
      <c r="A66" s="11"/>
      <c r="B66" s="11"/>
      <c r="C66" s="11"/>
      <c r="D66" s="11"/>
      <c r="E66" s="11"/>
      <c r="F66" s="12"/>
      <c r="G66" s="12"/>
      <c r="H66" s="11"/>
      <c r="I66" s="13"/>
      <c r="J66" s="11"/>
      <c r="K66" s="11"/>
      <c r="L66" s="11"/>
      <c r="M66" s="14" t="str">
        <f aca="true">IF(D66="","",IF(H66="Completed","Completed",IF(H66="Blocked","Blocked",IF(H66="Delayed","Delayed",IF(AND(G66&lt;&gt;"",G66&lt;TODAY(),H66&lt;&gt;"Completed"),"Overdue","On Track")))))</f>
        <v/>
      </c>
    </row>
    <row r="67" customFormat="false" ht="14.25" hidden="false" customHeight="true" outlineLevel="0" collapsed="false">
      <c r="A67" s="11"/>
      <c r="B67" s="11"/>
      <c r="C67" s="11"/>
      <c r="D67" s="11"/>
      <c r="E67" s="11"/>
      <c r="F67" s="12"/>
      <c r="G67" s="12"/>
      <c r="H67" s="11"/>
      <c r="I67" s="13"/>
      <c r="J67" s="11"/>
      <c r="K67" s="11"/>
      <c r="L67" s="11"/>
      <c r="M67" s="14" t="str">
        <f aca="true">IF(D67="","",IF(H67="Completed","Completed",IF(H67="Blocked","Blocked",IF(H67="Delayed","Delayed",IF(AND(G67&lt;&gt;"",G67&lt;TODAY(),H67&lt;&gt;"Completed"),"Overdue","On Track")))))</f>
        <v/>
      </c>
    </row>
    <row r="68" customFormat="false" ht="14.25" hidden="false" customHeight="true" outlineLevel="0" collapsed="false">
      <c r="A68" s="11"/>
      <c r="B68" s="11"/>
      <c r="C68" s="11"/>
      <c r="D68" s="11"/>
      <c r="E68" s="11"/>
      <c r="F68" s="12"/>
      <c r="G68" s="12"/>
      <c r="H68" s="11"/>
      <c r="I68" s="13"/>
      <c r="J68" s="11"/>
      <c r="K68" s="11"/>
      <c r="L68" s="11"/>
      <c r="M68" s="14" t="str">
        <f aca="true">IF(D68="","",IF(H68="Completed","Completed",IF(H68="Blocked","Blocked",IF(H68="Delayed","Delayed",IF(AND(G68&lt;&gt;"",G68&lt;TODAY(),H68&lt;&gt;"Completed"),"Overdue","On Track")))))</f>
        <v/>
      </c>
    </row>
    <row r="69" customFormat="false" ht="14.25" hidden="false" customHeight="true" outlineLevel="0" collapsed="false">
      <c r="A69" s="11"/>
      <c r="B69" s="11"/>
      <c r="C69" s="11"/>
      <c r="D69" s="11"/>
      <c r="E69" s="11"/>
      <c r="F69" s="12"/>
      <c r="G69" s="12"/>
      <c r="H69" s="11"/>
      <c r="I69" s="13"/>
      <c r="J69" s="11"/>
      <c r="K69" s="11"/>
      <c r="L69" s="11"/>
      <c r="M69" s="14" t="str">
        <f aca="true">IF(D69="","",IF(H69="Completed","Completed",IF(H69="Blocked","Blocked",IF(H69="Delayed","Delayed",IF(AND(G69&lt;&gt;"",G69&lt;TODAY(),H69&lt;&gt;"Completed"),"Overdue","On Track")))))</f>
        <v/>
      </c>
    </row>
    <row r="70" customFormat="false" ht="14.25" hidden="false" customHeight="true" outlineLevel="0" collapsed="false">
      <c r="A70" s="11"/>
      <c r="B70" s="11"/>
      <c r="C70" s="11"/>
      <c r="D70" s="11"/>
      <c r="E70" s="11"/>
      <c r="F70" s="12"/>
      <c r="G70" s="12"/>
      <c r="H70" s="11"/>
      <c r="I70" s="13"/>
      <c r="J70" s="11"/>
      <c r="K70" s="11"/>
      <c r="L70" s="11"/>
      <c r="M70" s="14" t="str">
        <f aca="true">IF(D70="","",IF(H70="Completed","Completed",IF(H70="Blocked","Blocked",IF(H70="Delayed","Delayed",IF(AND(G70&lt;&gt;"",G70&lt;TODAY(),H70&lt;&gt;"Completed"),"Overdue","On Track")))))</f>
        <v/>
      </c>
    </row>
    <row r="71" customFormat="false" ht="14.25" hidden="false" customHeight="true" outlineLevel="0" collapsed="false">
      <c r="A71" s="11"/>
      <c r="B71" s="11"/>
      <c r="C71" s="11"/>
      <c r="D71" s="11"/>
      <c r="E71" s="11"/>
      <c r="F71" s="12"/>
      <c r="G71" s="12"/>
      <c r="H71" s="11"/>
      <c r="I71" s="13"/>
      <c r="J71" s="11"/>
      <c r="K71" s="11"/>
      <c r="L71" s="11"/>
      <c r="M71" s="14" t="str">
        <f aca="true">IF(D71="","",IF(H71="Completed","Completed",IF(H71="Blocked","Blocked",IF(H71="Delayed","Delayed",IF(AND(G71&lt;&gt;"",G71&lt;TODAY(),H71&lt;&gt;"Completed"),"Overdue","On Track")))))</f>
        <v/>
      </c>
    </row>
    <row r="72" customFormat="false" ht="14.25" hidden="false" customHeight="true" outlineLevel="0" collapsed="false">
      <c r="A72" s="11"/>
      <c r="B72" s="11"/>
      <c r="C72" s="11"/>
      <c r="D72" s="11"/>
      <c r="E72" s="11"/>
      <c r="F72" s="12"/>
      <c r="G72" s="12"/>
      <c r="H72" s="11"/>
      <c r="I72" s="13"/>
      <c r="J72" s="11"/>
      <c r="K72" s="11"/>
      <c r="L72" s="11"/>
      <c r="M72" s="14" t="str">
        <f aca="true">IF(D72="","",IF(H72="Completed","Completed",IF(H72="Blocked","Blocked",IF(H72="Delayed","Delayed",IF(AND(G72&lt;&gt;"",G72&lt;TODAY(),H72&lt;&gt;"Completed"),"Overdue","On Track")))))</f>
        <v/>
      </c>
    </row>
    <row r="73" customFormat="false" ht="14.25" hidden="false" customHeight="true" outlineLevel="0" collapsed="false">
      <c r="A73" s="11"/>
      <c r="B73" s="11"/>
      <c r="C73" s="11"/>
      <c r="D73" s="11"/>
      <c r="E73" s="11"/>
      <c r="F73" s="12"/>
      <c r="G73" s="12"/>
      <c r="H73" s="11"/>
      <c r="I73" s="13"/>
      <c r="J73" s="11"/>
      <c r="K73" s="11"/>
      <c r="L73" s="11"/>
      <c r="M73" s="14" t="str">
        <f aca="true">IF(D73="","",IF(H73="Completed","Completed",IF(H73="Blocked","Blocked",IF(H73="Delayed","Delayed",IF(AND(G73&lt;&gt;"",G73&lt;TODAY(),H73&lt;&gt;"Completed"),"Overdue","On Track")))))</f>
        <v/>
      </c>
    </row>
    <row r="74" customFormat="false" ht="14.25" hidden="false" customHeight="true" outlineLevel="0" collapsed="false">
      <c r="A74" s="11"/>
      <c r="B74" s="11"/>
      <c r="C74" s="11"/>
      <c r="D74" s="11"/>
      <c r="E74" s="11"/>
      <c r="F74" s="12"/>
      <c r="G74" s="12"/>
      <c r="H74" s="11"/>
      <c r="I74" s="13"/>
      <c r="J74" s="11"/>
      <c r="K74" s="11"/>
      <c r="L74" s="11"/>
      <c r="M74" s="14" t="str">
        <f aca="true">IF(D74="","",IF(H74="Completed","Completed",IF(H74="Blocked","Blocked",IF(H74="Delayed","Delayed",IF(AND(G74&lt;&gt;"",G74&lt;TODAY(),H74&lt;&gt;"Completed"),"Overdue","On Track")))))</f>
        <v/>
      </c>
    </row>
    <row r="75" customFormat="false" ht="14.25" hidden="false" customHeight="true" outlineLevel="0" collapsed="false">
      <c r="A75" s="11"/>
      <c r="B75" s="11"/>
      <c r="C75" s="11"/>
      <c r="D75" s="11"/>
      <c r="E75" s="11"/>
      <c r="F75" s="12"/>
      <c r="G75" s="12"/>
      <c r="H75" s="11"/>
      <c r="I75" s="13"/>
      <c r="J75" s="11"/>
      <c r="K75" s="11"/>
      <c r="L75" s="11"/>
      <c r="M75" s="14" t="str">
        <f aca="true">IF(D75="","",IF(H75="Completed","Completed",IF(H75="Blocked","Blocked",IF(H75="Delayed","Delayed",IF(AND(G75&lt;&gt;"",G75&lt;TODAY(),H75&lt;&gt;"Completed"),"Overdue","On Track")))))</f>
        <v/>
      </c>
    </row>
    <row r="76" customFormat="false" ht="14.25" hidden="false" customHeight="true" outlineLevel="0" collapsed="false">
      <c r="A76" s="11"/>
      <c r="B76" s="11"/>
      <c r="C76" s="11"/>
      <c r="D76" s="11"/>
      <c r="E76" s="11"/>
      <c r="F76" s="12"/>
      <c r="G76" s="12"/>
      <c r="H76" s="11"/>
      <c r="I76" s="13"/>
      <c r="J76" s="11"/>
      <c r="K76" s="11"/>
      <c r="L76" s="11"/>
      <c r="M76" s="14" t="str">
        <f aca="true">IF(D76="","",IF(H76="Completed","Completed",IF(H76="Blocked","Blocked",IF(H76="Delayed","Delayed",IF(AND(G76&lt;&gt;"",G76&lt;TODAY(),H76&lt;&gt;"Completed"),"Overdue","On Track")))))</f>
        <v/>
      </c>
    </row>
    <row r="77" customFormat="false" ht="14.25" hidden="false" customHeight="true" outlineLevel="0" collapsed="false">
      <c r="A77" s="11"/>
      <c r="B77" s="11"/>
      <c r="C77" s="11"/>
      <c r="D77" s="11"/>
      <c r="E77" s="11"/>
      <c r="F77" s="12"/>
      <c r="G77" s="12"/>
      <c r="H77" s="11"/>
      <c r="I77" s="13"/>
      <c r="J77" s="11"/>
      <c r="K77" s="11"/>
      <c r="L77" s="11"/>
      <c r="M77" s="14" t="str">
        <f aca="true">IF(D77="","",IF(H77="Completed","Completed",IF(H77="Blocked","Blocked",IF(H77="Delayed","Delayed",IF(AND(G77&lt;&gt;"",G77&lt;TODAY(),H77&lt;&gt;"Completed"),"Overdue","On Track")))))</f>
        <v/>
      </c>
    </row>
    <row r="78" customFormat="false" ht="14.25" hidden="false" customHeight="true" outlineLevel="0" collapsed="false">
      <c r="A78" s="11"/>
      <c r="B78" s="11"/>
      <c r="C78" s="11"/>
      <c r="D78" s="11"/>
      <c r="E78" s="11"/>
      <c r="F78" s="12"/>
      <c r="G78" s="12"/>
      <c r="H78" s="11"/>
      <c r="I78" s="13"/>
      <c r="J78" s="11"/>
      <c r="K78" s="11"/>
      <c r="L78" s="11"/>
      <c r="M78" s="14" t="str">
        <f aca="true">IF(D78="","",IF(H78="Completed","Completed",IF(H78="Blocked","Blocked",IF(H78="Delayed","Delayed",IF(AND(G78&lt;&gt;"",G78&lt;TODAY(),H78&lt;&gt;"Completed"),"Overdue","On Track")))))</f>
        <v/>
      </c>
    </row>
    <row r="79" customFormat="false" ht="14.25" hidden="false" customHeight="true" outlineLevel="0" collapsed="false">
      <c r="A79" s="11"/>
      <c r="B79" s="11"/>
      <c r="C79" s="11"/>
      <c r="D79" s="11"/>
      <c r="E79" s="11"/>
      <c r="F79" s="12"/>
      <c r="G79" s="12"/>
      <c r="H79" s="11"/>
      <c r="I79" s="13"/>
      <c r="J79" s="11"/>
      <c r="K79" s="11"/>
      <c r="L79" s="11"/>
      <c r="M79" s="14" t="str">
        <f aca="true">IF(D79="","",IF(H79="Completed","Completed",IF(H79="Blocked","Blocked",IF(H79="Delayed","Delayed",IF(AND(G79&lt;&gt;"",G79&lt;TODAY(),H79&lt;&gt;"Completed"),"Overdue","On Track")))))</f>
        <v/>
      </c>
    </row>
    <row r="80" customFormat="false" ht="14.25" hidden="false" customHeight="true" outlineLevel="0" collapsed="false">
      <c r="A80" s="11"/>
      <c r="B80" s="11"/>
      <c r="C80" s="11"/>
      <c r="D80" s="11"/>
      <c r="E80" s="11"/>
      <c r="F80" s="12"/>
      <c r="G80" s="12"/>
      <c r="H80" s="11"/>
      <c r="I80" s="13"/>
      <c r="J80" s="11"/>
      <c r="K80" s="11"/>
      <c r="L80" s="11"/>
      <c r="M80" s="14" t="str">
        <f aca="true">IF(D80="","",IF(H80="Completed","Completed",IF(H80="Blocked","Blocked",IF(H80="Delayed","Delayed",IF(AND(G80&lt;&gt;"",G80&lt;TODAY(),H80&lt;&gt;"Completed"),"Overdue","On Track")))))</f>
        <v/>
      </c>
    </row>
    <row r="81" customFormat="false" ht="14.25" hidden="false" customHeight="true" outlineLevel="0" collapsed="false">
      <c r="A81" s="11"/>
      <c r="B81" s="11"/>
      <c r="C81" s="11"/>
      <c r="D81" s="11"/>
      <c r="E81" s="11"/>
      <c r="F81" s="12"/>
      <c r="G81" s="12"/>
      <c r="H81" s="11"/>
      <c r="I81" s="13"/>
      <c r="J81" s="11"/>
      <c r="K81" s="11"/>
      <c r="L81" s="11"/>
      <c r="M81" s="14" t="str">
        <f aca="true">IF(D81="","",IF(H81="Completed","Completed",IF(H81="Blocked","Blocked",IF(H81="Delayed","Delayed",IF(AND(G81&lt;&gt;"",G81&lt;TODAY(),H81&lt;&gt;"Completed"),"Overdue","On Track")))))</f>
        <v/>
      </c>
    </row>
    <row r="82" customFormat="false" ht="14.25" hidden="false" customHeight="true" outlineLevel="0" collapsed="false">
      <c r="A82" s="11"/>
      <c r="B82" s="11"/>
      <c r="C82" s="11"/>
      <c r="D82" s="11"/>
      <c r="E82" s="11"/>
      <c r="F82" s="12"/>
      <c r="G82" s="12"/>
      <c r="H82" s="11"/>
      <c r="I82" s="13"/>
      <c r="J82" s="11"/>
      <c r="K82" s="11"/>
      <c r="L82" s="11"/>
      <c r="M82" s="14" t="str">
        <f aca="true">IF(D82="","",IF(H82="Completed","Completed",IF(H82="Blocked","Blocked",IF(H82="Delayed","Delayed",IF(AND(G82&lt;&gt;"",G82&lt;TODAY(),H82&lt;&gt;"Completed"),"Overdue","On Track")))))</f>
        <v/>
      </c>
    </row>
    <row r="83" customFormat="false" ht="14.25" hidden="false" customHeight="true" outlineLevel="0" collapsed="false">
      <c r="A83" s="11"/>
      <c r="B83" s="11"/>
      <c r="C83" s="11"/>
      <c r="D83" s="11"/>
      <c r="E83" s="11"/>
      <c r="F83" s="12"/>
      <c r="G83" s="12"/>
      <c r="H83" s="11"/>
      <c r="I83" s="13"/>
      <c r="J83" s="11"/>
      <c r="K83" s="11"/>
      <c r="L83" s="11"/>
      <c r="M83" s="14" t="str">
        <f aca="true">IF(D83="","",IF(H83="Completed","Completed",IF(H83="Blocked","Blocked",IF(H83="Delayed","Delayed",IF(AND(G83&lt;&gt;"",G83&lt;TODAY(),H83&lt;&gt;"Completed"),"Overdue","On Track")))))</f>
        <v/>
      </c>
    </row>
    <row r="84" customFormat="false" ht="14.25" hidden="false" customHeight="true" outlineLevel="0" collapsed="false">
      <c r="A84" s="11"/>
      <c r="B84" s="11"/>
      <c r="C84" s="11"/>
      <c r="D84" s="11"/>
      <c r="E84" s="11"/>
      <c r="F84" s="12"/>
      <c r="G84" s="12"/>
      <c r="H84" s="11"/>
      <c r="I84" s="13"/>
      <c r="J84" s="11"/>
      <c r="K84" s="11"/>
      <c r="L84" s="11"/>
      <c r="M84" s="14" t="str">
        <f aca="true">IF(D84="","",IF(H84="Completed","Completed",IF(H84="Blocked","Blocked",IF(H84="Delayed","Delayed",IF(AND(G84&lt;&gt;"",G84&lt;TODAY(),H84&lt;&gt;"Completed"),"Overdue","On Track")))))</f>
        <v/>
      </c>
    </row>
    <row r="85" customFormat="false" ht="14.25" hidden="false" customHeight="true" outlineLevel="0" collapsed="false">
      <c r="A85" s="11"/>
      <c r="B85" s="11"/>
      <c r="C85" s="11"/>
      <c r="D85" s="11"/>
      <c r="E85" s="11"/>
      <c r="F85" s="12"/>
      <c r="G85" s="12"/>
      <c r="H85" s="11"/>
      <c r="I85" s="13"/>
      <c r="J85" s="11"/>
      <c r="K85" s="11"/>
      <c r="L85" s="11"/>
      <c r="M85" s="14" t="str">
        <f aca="true">IF(D85="","",IF(H85="Completed","Completed",IF(H85="Blocked","Blocked",IF(H85="Delayed","Delayed",IF(AND(G85&lt;&gt;"",G85&lt;TODAY(),H85&lt;&gt;"Completed"),"Overdue","On Track")))))</f>
        <v/>
      </c>
    </row>
    <row r="86" customFormat="false" ht="14.25" hidden="false" customHeight="true" outlineLevel="0" collapsed="false">
      <c r="A86" s="11"/>
      <c r="B86" s="11"/>
      <c r="C86" s="11"/>
      <c r="D86" s="11"/>
      <c r="E86" s="11"/>
      <c r="F86" s="12"/>
      <c r="G86" s="12"/>
      <c r="H86" s="11"/>
      <c r="I86" s="13"/>
      <c r="J86" s="11"/>
      <c r="K86" s="11"/>
      <c r="L86" s="11"/>
      <c r="M86" s="14" t="str">
        <f aca="true">IF(D86="","",IF(H86="Completed","Completed",IF(H86="Blocked","Blocked",IF(H86="Delayed","Delayed",IF(AND(G86&lt;&gt;"",G86&lt;TODAY(),H86&lt;&gt;"Completed"),"Overdue","On Track")))))</f>
        <v/>
      </c>
    </row>
    <row r="87" customFormat="false" ht="14.25" hidden="false" customHeight="true" outlineLevel="0" collapsed="false">
      <c r="A87" s="11"/>
      <c r="B87" s="11"/>
      <c r="C87" s="11"/>
      <c r="D87" s="11"/>
      <c r="E87" s="11"/>
      <c r="F87" s="12"/>
      <c r="G87" s="12"/>
      <c r="H87" s="11"/>
      <c r="I87" s="13"/>
      <c r="J87" s="11"/>
      <c r="K87" s="11"/>
      <c r="L87" s="11"/>
      <c r="M87" s="14" t="str">
        <f aca="true">IF(D87="","",IF(H87="Completed","Completed",IF(H87="Blocked","Blocked",IF(H87="Delayed","Delayed",IF(AND(G87&lt;&gt;"",G87&lt;TODAY(),H87&lt;&gt;"Completed"),"Overdue","On Track")))))</f>
        <v/>
      </c>
    </row>
    <row r="88" customFormat="false" ht="14.25" hidden="false" customHeight="true" outlineLevel="0" collapsed="false">
      <c r="A88" s="11"/>
      <c r="B88" s="11"/>
      <c r="C88" s="11"/>
      <c r="D88" s="11"/>
      <c r="E88" s="11"/>
      <c r="F88" s="12"/>
      <c r="G88" s="12"/>
      <c r="H88" s="11"/>
      <c r="I88" s="13"/>
      <c r="J88" s="11"/>
      <c r="K88" s="11"/>
      <c r="L88" s="11"/>
      <c r="M88" s="14" t="str">
        <f aca="true">IF(D88="","",IF(H88="Completed","Completed",IF(H88="Blocked","Blocked",IF(H88="Delayed","Delayed",IF(AND(G88&lt;&gt;"",G88&lt;TODAY(),H88&lt;&gt;"Completed"),"Overdue","On Track")))))</f>
        <v/>
      </c>
    </row>
    <row r="89" customFormat="false" ht="14.25" hidden="false" customHeight="true" outlineLevel="0" collapsed="false">
      <c r="A89" s="11"/>
      <c r="B89" s="11"/>
      <c r="C89" s="11"/>
      <c r="D89" s="11"/>
      <c r="E89" s="11"/>
      <c r="F89" s="12"/>
      <c r="G89" s="12"/>
      <c r="H89" s="11"/>
      <c r="I89" s="13"/>
      <c r="J89" s="11"/>
      <c r="K89" s="11"/>
      <c r="L89" s="11"/>
      <c r="M89" s="14" t="str">
        <f aca="true">IF(D89="","",IF(H89="Completed","Completed",IF(H89="Blocked","Blocked",IF(H89="Delayed","Delayed",IF(AND(G89&lt;&gt;"",G89&lt;TODAY(),H89&lt;&gt;"Completed"),"Overdue","On Track")))))</f>
        <v/>
      </c>
    </row>
    <row r="90" customFormat="false" ht="14.25" hidden="false" customHeight="true" outlineLevel="0" collapsed="false">
      <c r="A90" s="11"/>
      <c r="B90" s="11"/>
      <c r="C90" s="11"/>
      <c r="D90" s="11"/>
      <c r="E90" s="11"/>
      <c r="F90" s="12"/>
      <c r="G90" s="12"/>
      <c r="H90" s="11"/>
      <c r="I90" s="13"/>
      <c r="J90" s="11"/>
      <c r="K90" s="11"/>
      <c r="L90" s="11"/>
      <c r="M90" s="14" t="str">
        <f aca="true">IF(D90="","",IF(H90="Completed","Completed",IF(H90="Blocked","Blocked",IF(H90="Delayed","Delayed",IF(AND(G90&lt;&gt;"",G90&lt;TODAY(),H90&lt;&gt;"Completed"),"Overdue","On Track")))))</f>
        <v/>
      </c>
    </row>
    <row r="91" customFormat="false" ht="14.25" hidden="false" customHeight="true" outlineLevel="0" collapsed="false">
      <c r="A91" s="11"/>
      <c r="B91" s="11"/>
      <c r="C91" s="11"/>
      <c r="D91" s="11"/>
      <c r="E91" s="11"/>
      <c r="F91" s="12"/>
      <c r="G91" s="12"/>
      <c r="H91" s="11"/>
      <c r="I91" s="13"/>
      <c r="J91" s="11"/>
      <c r="K91" s="11"/>
      <c r="L91" s="11"/>
      <c r="M91" s="14" t="str">
        <f aca="true">IF(D91="","",IF(H91="Completed","Completed",IF(H91="Blocked","Blocked",IF(H91="Delayed","Delayed",IF(AND(G91&lt;&gt;"",G91&lt;TODAY(),H91&lt;&gt;"Completed"),"Overdue","On Track")))))</f>
        <v/>
      </c>
    </row>
    <row r="92" customFormat="false" ht="14.25" hidden="false" customHeight="true" outlineLevel="0" collapsed="false">
      <c r="A92" s="11"/>
      <c r="B92" s="11"/>
      <c r="C92" s="11"/>
      <c r="D92" s="11"/>
      <c r="E92" s="11"/>
      <c r="F92" s="12"/>
      <c r="G92" s="12"/>
      <c r="H92" s="11"/>
      <c r="I92" s="13"/>
      <c r="J92" s="11"/>
      <c r="K92" s="11"/>
      <c r="L92" s="11"/>
      <c r="M92" s="14" t="str">
        <f aca="true">IF(D92="","",IF(H92="Completed","Completed",IF(H92="Blocked","Blocked",IF(H92="Delayed","Delayed",IF(AND(G92&lt;&gt;"",G92&lt;TODAY(),H92&lt;&gt;"Completed"),"Overdue","On Track")))))</f>
        <v/>
      </c>
    </row>
    <row r="93" customFormat="false" ht="14.25" hidden="false" customHeight="true" outlineLevel="0" collapsed="false">
      <c r="A93" s="11"/>
      <c r="B93" s="11"/>
      <c r="C93" s="11"/>
      <c r="D93" s="11"/>
      <c r="E93" s="11"/>
      <c r="F93" s="12"/>
      <c r="G93" s="12"/>
      <c r="H93" s="11"/>
      <c r="I93" s="13"/>
      <c r="J93" s="11"/>
      <c r="K93" s="11"/>
      <c r="L93" s="11"/>
      <c r="M93" s="14" t="str">
        <f aca="true">IF(D93="","",IF(H93="Completed","Completed",IF(H93="Blocked","Blocked",IF(H93="Delayed","Delayed",IF(AND(G93&lt;&gt;"",G93&lt;TODAY(),H93&lt;&gt;"Completed"),"Overdue","On Track")))))</f>
        <v/>
      </c>
    </row>
    <row r="94" customFormat="false" ht="14.25" hidden="false" customHeight="true" outlineLevel="0" collapsed="false">
      <c r="A94" s="11"/>
      <c r="B94" s="11"/>
      <c r="C94" s="11"/>
      <c r="D94" s="11"/>
      <c r="E94" s="11"/>
      <c r="F94" s="12"/>
      <c r="G94" s="12"/>
      <c r="H94" s="11"/>
      <c r="I94" s="13"/>
      <c r="J94" s="11"/>
      <c r="K94" s="11"/>
      <c r="L94" s="11"/>
      <c r="M94" s="14" t="str">
        <f aca="true">IF(D94="","",IF(H94="Completed","Completed",IF(H94="Blocked","Blocked",IF(H94="Delayed","Delayed",IF(AND(G94&lt;&gt;"",G94&lt;TODAY(),H94&lt;&gt;"Completed"),"Overdue","On Track")))))</f>
        <v/>
      </c>
    </row>
    <row r="95" customFormat="false" ht="14.25" hidden="false" customHeight="true" outlineLevel="0" collapsed="false">
      <c r="A95" s="11"/>
      <c r="B95" s="11"/>
      <c r="C95" s="11"/>
      <c r="D95" s="11"/>
      <c r="E95" s="11"/>
      <c r="F95" s="12"/>
      <c r="G95" s="12"/>
      <c r="H95" s="11"/>
      <c r="I95" s="13"/>
      <c r="J95" s="11"/>
      <c r="K95" s="11"/>
      <c r="L95" s="11"/>
      <c r="M95" s="14" t="str">
        <f aca="true">IF(D95="","",IF(H95="Completed","Completed",IF(H95="Blocked","Blocked",IF(H95="Delayed","Delayed",IF(AND(G95&lt;&gt;"",G95&lt;TODAY(),H95&lt;&gt;"Completed"),"Overdue","On Track")))))</f>
        <v/>
      </c>
    </row>
    <row r="96" customFormat="false" ht="14.25" hidden="false" customHeight="true" outlineLevel="0" collapsed="false">
      <c r="A96" s="11"/>
      <c r="B96" s="11"/>
      <c r="C96" s="11"/>
      <c r="D96" s="11"/>
      <c r="E96" s="11"/>
      <c r="F96" s="12"/>
      <c r="G96" s="12"/>
      <c r="H96" s="11"/>
      <c r="I96" s="13"/>
      <c r="J96" s="11"/>
      <c r="K96" s="11"/>
      <c r="L96" s="11"/>
      <c r="M96" s="14" t="str">
        <f aca="true">IF(D96="","",IF(H96="Completed","Completed",IF(H96="Blocked","Blocked",IF(H96="Delayed","Delayed",IF(AND(G96&lt;&gt;"",G96&lt;TODAY(),H96&lt;&gt;"Completed"),"Overdue","On Track")))))</f>
        <v/>
      </c>
    </row>
    <row r="97" customFormat="false" ht="14.25" hidden="false" customHeight="true" outlineLevel="0" collapsed="false">
      <c r="A97" s="11"/>
      <c r="B97" s="11"/>
      <c r="C97" s="11"/>
      <c r="D97" s="11"/>
      <c r="E97" s="11"/>
      <c r="F97" s="12"/>
      <c r="G97" s="12"/>
      <c r="H97" s="11"/>
      <c r="I97" s="13"/>
      <c r="J97" s="11"/>
      <c r="K97" s="11"/>
      <c r="L97" s="11"/>
      <c r="M97" s="14" t="str">
        <f aca="true">IF(D97="","",IF(H97="Completed","Completed",IF(H97="Blocked","Blocked",IF(H97="Delayed","Delayed",IF(AND(G97&lt;&gt;"",G97&lt;TODAY(),H97&lt;&gt;"Completed"),"Overdue","On Track")))))</f>
        <v/>
      </c>
    </row>
    <row r="98" customFormat="false" ht="14.25" hidden="false" customHeight="true" outlineLevel="0" collapsed="false">
      <c r="A98" s="11"/>
      <c r="B98" s="11"/>
      <c r="C98" s="11"/>
      <c r="D98" s="11"/>
      <c r="E98" s="11"/>
      <c r="F98" s="12"/>
      <c r="G98" s="12"/>
      <c r="H98" s="11"/>
      <c r="I98" s="13"/>
      <c r="J98" s="11"/>
      <c r="K98" s="11"/>
      <c r="L98" s="11"/>
      <c r="M98" s="14" t="str">
        <f aca="true">IF(D98="","",IF(H98="Completed","Completed",IF(H98="Blocked","Blocked",IF(H98="Delayed","Delayed",IF(AND(G98&lt;&gt;"",G98&lt;TODAY(),H98&lt;&gt;"Completed"),"Overdue","On Track")))))</f>
        <v/>
      </c>
    </row>
    <row r="99" customFormat="false" ht="14.25" hidden="false" customHeight="true" outlineLevel="0" collapsed="false">
      <c r="A99" s="11"/>
      <c r="B99" s="11"/>
      <c r="C99" s="11"/>
      <c r="D99" s="11"/>
      <c r="E99" s="11"/>
      <c r="F99" s="12"/>
      <c r="G99" s="12"/>
      <c r="H99" s="11"/>
      <c r="I99" s="13"/>
      <c r="J99" s="11"/>
      <c r="K99" s="11"/>
      <c r="L99" s="11"/>
      <c r="M99" s="14" t="str">
        <f aca="true">IF(D99="","",IF(H99="Completed","Completed",IF(H99="Blocked","Blocked",IF(H99="Delayed","Delayed",IF(AND(G99&lt;&gt;"",G99&lt;TODAY(),H99&lt;&gt;"Completed"),"Overdue","On Track")))))</f>
        <v/>
      </c>
    </row>
    <row r="100" customFormat="false" ht="14.25" hidden="false" customHeight="true" outlineLevel="0" collapsed="false">
      <c r="A100" s="11"/>
      <c r="B100" s="11"/>
      <c r="C100" s="11"/>
      <c r="D100" s="11"/>
      <c r="E100" s="11"/>
      <c r="F100" s="12"/>
      <c r="G100" s="12"/>
      <c r="H100" s="11"/>
      <c r="I100" s="13"/>
      <c r="J100" s="11"/>
      <c r="K100" s="11"/>
      <c r="L100" s="11"/>
      <c r="M100" s="14" t="str">
        <f aca="true">IF(D100="","",IF(H100="Completed","Completed",IF(H100="Blocked","Blocked",IF(H100="Delayed","Delayed",IF(AND(G100&lt;&gt;"",G100&lt;TODAY(),H100&lt;&gt;"Completed"),"Overdue","On Track")))))</f>
        <v/>
      </c>
    </row>
    <row r="101" customFormat="false" ht="14.25" hidden="false" customHeight="true" outlineLevel="0" collapsed="false">
      <c r="A101" s="11"/>
      <c r="B101" s="11"/>
      <c r="C101" s="11"/>
      <c r="D101" s="11"/>
      <c r="E101" s="11"/>
      <c r="F101" s="12"/>
      <c r="G101" s="12"/>
      <c r="H101" s="11"/>
      <c r="I101" s="13"/>
      <c r="J101" s="11"/>
      <c r="K101" s="11"/>
      <c r="L101" s="11"/>
      <c r="M101" s="14" t="str">
        <f aca="true">IF(D101="","",IF(H101="Completed","Completed",IF(H101="Blocked","Blocked",IF(H101="Delayed","Delayed",IF(AND(G101&lt;&gt;"",G101&lt;TODAY(),H101&lt;&gt;"Completed"),"Overdue","On Track")))))</f>
        <v/>
      </c>
    </row>
    <row r="102" customFormat="false" ht="14.25" hidden="false" customHeight="true" outlineLevel="0" collapsed="false">
      <c r="A102" s="1" t="s">
        <v>140</v>
      </c>
      <c r="B102" s="1" t="s">
        <v>76</v>
      </c>
      <c r="C102" s="1" t="s">
        <v>141</v>
      </c>
      <c r="D102" s="1" t="s">
        <v>142</v>
      </c>
      <c r="E102" s="1" t="s">
        <v>143</v>
      </c>
      <c r="F102" s="18" t="n">
        <v>46261</v>
      </c>
      <c r="G102" s="18" t="n">
        <v>46264</v>
      </c>
      <c r="H102" s="1" t="s">
        <v>47</v>
      </c>
      <c r="I102" s="1" t="n">
        <v>100</v>
      </c>
      <c r="J102" s="1" t="s">
        <v>144</v>
      </c>
      <c r="K102" s="1" t="s">
        <v>100</v>
      </c>
      <c r="M102" s="1" t="s">
        <v>47</v>
      </c>
    </row>
    <row r="103" customFormat="false" ht="14.25" hidden="false" customHeight="true" outlineLevel="0" collapsed="false">
      <c r="A103" s="1" t="s">
        <v>145</v>
      </c>
      <c r="B103" s="1" t="s">
        <v>76</v>
      </c>
      <c r="C103" s="1" t="s">
        <v>141</v>
      </c>
      <c r="D103" s="1" t="s">
        <v>146</v>
      </c>
      <c r="E103" s="1" t="s">
        <v>147</v>
      </c>
      <c r="F103" s="18" t="n">
        <v>46266</v>
      </c>
      <c r="G103" s="18" t="n">
        <v>46270</v>
      </c>
      <c r="H103" s="1" t="s">
        <v>47</v>
      </c>
      <c r="I103" s="1" t="n">
        <v>100</v>
      </c>
      <c r="J103" s="1" t="s">
        <v>148</v>
      </c>
      <c r="K103" s="1" t="s">
        <v>100</v>
      </c>
      <c r="M103" s="1" t="s">
        <v>47</v>
      </c>
    </row>
    <row r="104" customFormat="false" ht="14.25" hidden="false" customHeight="true" outlineLevel="0" collapsed="false">
      <c r="A104" s="1" t="s">
        <v>149</v>
      </c>
      <c r="B104" s="1" t="s">
        <v>76</v>
      </c>
      <c r="C104" s="1" t="s">
        <v>141</v>
      </c>
      <c r="D104" s="1" t="s">
        <v>150</v>
      </c>
      <c r="E104" s="1" t="s">
        <v>151</v>
      </c>
      <c r="F104" s="18" t="n">
        <v>46266</v>
      </c>
      <c r="G104" s="18" t="n">
        <v>46273</v>
      </c>
      <c r="H104" s="1" t="s">
        <v>47</v>
      </c>
      <c r="I104" s="1" t="n">
        <v>100</v>
      </c>
      <c r="J104" s="1" t="s">
        <v>152</v>
      </c>
      <c r="K104" s="1" t="s">
        <v>100</v>
      </c>
      <c r="M104" s="1" t="s">
        <v>47</v>
      </c>
    </row>
    <row r="105" customFormat="false" ht="14.25" hidden="false" customHeight="true" outlineLevel="0" collapsed="false">
      <c r="A105" s="1" t="s">
        <v>153</v>
      </c>
      <c r="B105" s="1" t="s">
        <v>76</v>
      </c>
      <c r="C105" s="1" t="s">
        <v>141</v>
      </c>
      <c r="D105" s="1" t="s">
        <v>154</v>
      </c>
      <c r="E105" s="1" t="s">
        <v>155</v>
      </c>
      <c r="F105" s="18" t="n">
        <v>46270</v>
      </c>
      <c r="G105" s="18" t="n">
        <v>46275</v>
      </c>
      <c r="H105" s="1" t="s">
        <v>47</v>
      </c>
      <c r="I105" s="1" t="n">
        <v>100</v>
      </c>
      <c r="J105" s="1" t="s">
        <v>156</v>
      </c>
      <c r="K105" s="1" t="s">
        <v>100</v>
      </c>
      <c r="M105" s="1" t="s">
        <v>47</v>
      </c>
    </row>
    <row r="106" customFormat="false" ht="14.25" hidden="false" customHeight="true" outlineLevel="0" collapsed="false">
      <c r="A106" s="1" t="s">
        <v>157</v>
      </c>
      <c r="B106" s="1" t="s">
        <v>76</v>
      </c>
      <c r="C106" s="1" t="s">
        <v>141</v>
      </c>
      <c r="D106" s="1" t="s">
        <v>158</v>
      </c>
      <c r="E106" s="1" t="s">
        <v>143</v>
      </c>
      <c r="F106" s="18" t="n">
        <v>46273</v>
      </c>
      <c r="G106" s="18" t="n">
        <v>46277</v>
      </c>
      <c r="H106" s="1" t="s">
        <v>47</v>
      </c>
      <c r="I106" s="1" t="n">
        <v>100</v>
      </c>
      <c r="J106" s="1" t="s">
        <v>159</v>
      </c>
      <c r="K106" s="1" t="s">
        <v>100</v>
      </c>
      <c r="M106" s="1" t="s">
        <v>47</v>
      </c>
    </row>
    <row r="107" customFormat="false" ht="14.25" hidden="false" customHeight="true" outlineLevel="0" collapsed="false">
      <c r="A107" s="1" t="s">
        <v>160</v>
      </c>
      <c r="B107" s="1" t="s">
        <v>76</v>
      </c>
      <c r="C107" s="1" t="s">
        <v>161</v>
      </c>
      <c r="D107" s="1" t="s">
        <v>162</v>
      </c>
      <c r="E107" s="1" t="s">
        <v>163</v>
      </c>
      <c r="F107" s="18" t="n">
        <v>46275</v>
      </c>
      <c r="G107" s="18" t="n">
        <v>46283</v>
      </c>
      <c r="H107" s="1" t="s">
        <v>47</v>
      </c>
      <c r="I107" s="1" t="n">
        <v>100</v>
      </c>
      <c r="J107" s="1" t="s">
        <v>164</v>
      </c>
      <c r="K107" s="1" t="s">
        <v>100</v>
      </c>
      <c r="M107" s="1" t="s">
        <v>47</v>
      </c>
    </row>
    <row r="108" customFormat="false" ht="14.25" hidden="false" customHeight="true" outlineLevel="0" collapsed="false">
      <c r="A108" s="1" t="s">
        <v>165</v>
      </c>
      <c r="B108" s="1" t="s">
        <v>76</v>
      </c>
      <c r="C108" s="1" t="s">
        <v>161</v>
      </c>
      <c r="D108" s="1" t="s">
        <v>166</v>
      </c>
      <c r="E108" s="1" t="s">
        <v>135</v>
      </c>
      <c r="F108" s="18" t="n">
        <v>46275</v>
      </c>
      <c r="G108" s="18" t="n">
        <v>46283</v>
      </c>
      <c r="H108" s="1" t="s">
        <v>47</v>
      </c>
      <c r="I108" s="1" t="n">
        <v>100</v>
      </c>
      <c r="J108" s="1" t="s">
        <v>167</v>
      </c>
      <c r="K108" s="1" t="s">
        <v>100</v>
      </c>
      <c r="M108" s="1" t="s">
        <v>47</v>
      </c>
    </row>
    <row r="109" customFormat="false" ht="14.25" hidden="false" customHeight="true" outlineLevel="0" collapsed="false">
      <c r="A109" s="1" t="s">
        <v>168</v>
      </c>
      <c r="B109" s="1" t="s">
        <v>76</v>
      </c>
      <c r="C109" s="1" t="s">
        <v>161</v>
      </c>
      <c r="D109" s="1" t="s">
        <v>169</v>
      </c>
      <c r="E109" s="1" t="s">
        <v>147</v>
      </c>
      <c r="F109" s="18" t="n">
        <v>46284</v>
      </c>
      <c r="G109" s="18" t="n">
        <v>46286</v>
      </c>
      <c r="H109" s="1" t="s">
        <v>47</v>
      </c>
      <c r="I109" s="1" t="n">
        <v>100</v>
      </c>
      <c r="J109" s="1" t="s">
        <v>170</v>
      </c>
      <c r="K109" s="1" t="s">
        <v>100</v>
      </c>
      <c r="M109" s="1" t="s">
        <v>47</v>
      </c>
    </row>
    <row r="110" customFormat="false" ht="14.25" hidden="false" customHeight="true" outlineLevel="0" collapsed="false">
      <c r="A110" s="1" t="s">
        <v>171</v>
      </c>
      <c r="B110" s="1" t="s">
        <v>76</v>
      </c>
      <c r="C110" s="1" t="s">
        <v>172</v>
      </c>
      <c r="D110" s="1" t="s">
        <v>173</v>
      </c>
      <c r="E110" s="1" t="s">
        <v>151</v>
      </c>
      <c r="F110" s="18" t="n">
        <v>46285</v>
      </c>
      <c r="G110" s="18" t="n">
        <v>46287</v>
      </c>
      <c r="H110" s="1" t="s">
        <v>47</v>
      </c>
      <c r="I110" s="1" t="n">
        <v>100</v>
      </c>
      <c r="J110" s="1" t="s">
        <v>174</v>
      </c>
      <c r="K110" s="1" t="s">
        <v>100</v>
      </c>
      <c r="M110" s="1" t="s">
        <v>47</v>
      </c>
    </row>
    <row r="111" customFormat="false" ht="14.25" hidden="false" customHeight="true" outlineLevel="0" collapsed="false">
      <c r="A111" s="1" t="s">
        <v>175</v>
      </c>
      <c r="B111" s="1" t="s">
        <v>76</v>
      </c>
      <c r="C111" s="1" t="s">
        <v>172</v>
      </c>
      <c r="D111" s="1" t="s">
        <v>176</v>
      </c>
      <c r="E111" s="1" t="s">
        <v>163</v>
      </c>
      <c r="F111" s="18" t="n">
        <v>46286</v>
      </c>
      <c r="G111" s="18" t="n">
        <v>46288</v>
      </c>
      <c r="H111" s="1" t="s">
        <v>47</v>
      </c>
      <c r="I111" s="1" t="n">
        <v>100</v>
      </c>
      <c r="J111" s="1" t="s">
        <v>177</v>
      </c>
      <c r="K111" s="1" t="s">
        <v>100</v>
      </c>
      <c r="M111" s="1" t="s">
        <v>47</v>
      </c>
    </row>
    <row r="112" customFormat="false" ht="14.25" hidden="false" customHeight="true" outlineLevel="0" collapsed="false">
      <c r="A112" s="1" t="s">
        <v>178</v>
      </c>
      <c r="B112" s="1" t="s">
        <v>76</v>
      </c>
      <c r="C112" s="1" t="s">
        <v>172</v>
      </c>
      <c r="D112" s="1" t="s">
        <v>179</v>
      </c>
      <c r="E112" s="1" t="s">
        <v>155</v>
      </c>
      <c r="F112" s="18" t="n">
        <v>46287</v>
      </c>
      <c r="G112" s="18" t="n">
        <v>46288</v>
      </c>
      <c r="H112" s="1" t="s">
        <v>47</v>
      </c>
      <c r="I112" s="1" t="n">
        <v>100</v>
      </c>
      <c r="J112" s="1" t="s">
        <v>180</v>
      </c>
      <c r="K112" s="1" t="s">
        <v>100</v>
      </c>
      <c r="M112" s="1" t="s">
        <v>47</v>
      </c>
    </row>
    <row r="113" customFormat="false" ht="14.25" hidden="false" customHeight="true" outlineLevel="0" collapsed="false">
      <c r="A113" s="1" t="s">
        <v>181</v>
      </c>
      <c r="B113" s="1" t="s">
        <v>76</v>
      </c>
      <c r="C113" s="1" t="s">
        <v>172</v>
      </c>
      <c r="D113" s="1" t="s">
        <v>182</v>
      </c>
      <c r="E113" s="1" t="s">
        <v>135</v>
      </c>
      <c r="F113" s="18" t="n">
        <v>46288</v>
      </c>
      <c r="G113" s="18" t="n">
        <v>46288</v>
      </c>
      <c r="H113" s="1" t="s">
        <v>47</v>
      </c>
      <c r="I113" s="1" t="n">
        <v>100</v>
      </c>
      <c r="J113" s="1" t="s">
        <v>136</v>
      </c>
      <c r="K113" s="1" t="s">
        <v>100</v>
      </c>
      <c r="M113" s="1" t="s">
        <v>47</v>
      </c>
    </row>
  </sheetData>
  <mergeCells count="1">
    <mergeCell ref="A1:M1"/>
  </mergeCells>
  <conditionalFormatting sqref="H3:H101">
    <cfRule type="expression" priority="2" aboveAverage="0" equalAverage="0" bottom="0" percent="0" rank="0" text="" dxfId="6">
      <formula>H3="Completed"</formula>
    </cfRule>
    <cfRule type="expression" priority="3" aboveAverage="0" equalAverage="0" bottom="0" percent="0" rank="0" text="" dxfId="7">
      <formula>H3="In Progress"</formula>
    </cfRule>
    <cfRule type="expression" priority="4" aboveAverage="0" equalAverage="0" bottom="0" percent="0" rank="0" text="" dxfId="8">
      <formula>H3="Delayed"</formula>
    </cfRule>
    <cfRule type="expression" priority="5" aboveAverage="0" equalAverage="0" bottom="0" percent="0" rank="0" text="" dxfId="9">
      <formula>H3="Blocked"</formula>
    </cfRule>
  </conditionalFormatting>
  <conditionalFormatting sqref="M3:M101">
    <cfRule type="expression" priority="6" aboveAverage="0" equalAverage="0" bottom="0" percent="0" rank="0" text="" dxfId="10">
      <formula>M3="Overdue"</formula>
    </cfRule>
  </conditionalFormatting>
  <conditionalFormatting sqref="I3:I101">
    <cfRule type="dataBar" priority="7">
      <dataBar showValue="1" minLength="10" maxLength="90">
        <cfvo type="min" val="0"/>
        <cfvo type="max" val="0"/>
        <color rgb="FF1F5A94"/>
      </dataBar>
      <extLst>
        <ext xmlns:x14="http://schemas.microsoft.com/office/spreadsheetml/2009/9/main" uri="{B025F937-C7B1-47D3-B67F-A62EFF666E3E}">
          <x14:id>{9D47F6CF-33D5-4138-B827-8B2C6AAF608F}</x14:id>
        </ext>
      </extLst>
    </cfRule>
    <cfRule type="dataBar" priority="8">
      <dataBar showValue="1" minLength="10" maxLength="90">
        <cfvo type="min" val="0"/>
        <cfvo type="max" val="0"/>
        <color rgb="FF1F5A94"/>
      </dataBar>
      <extLst>
        <ext xmlns:x14="http://schemas.microsoft.com/office/spreadsheetml/2009/9/main" uri="{B025F937-C7B1-47D3-B67F-A62EFF666E3E}">
          <x14:id>{4287E7DC-B951-4C26-9BC7-25606949C546}</x14:id>
        </ext>
      </extLst>
    </cfRule>
  </conditionalFormatting>
  <dataValidations count="4">
    <dataValidation allowBlank="false" errorStyle="stop" operator="between" showDropDown="false" showErrorMessage="false" showInputMessage="false" sqref="B3:B101" type="list">
      <formula1>"Unit 1 / Phase 1,Phase 2,Phase 3,Final"</formula1>
      <formula2>0</formula2>
    </dataValidation>
    <dataValidation allowBlank="false" errorStyle="stop" operator="between" showDropDown="false" showErrorMessage="false" showInputMessage="false" sqref="H3:H101" type="list">
      <formula1>"Not Started,In Progress,Completed,Delayed,Blocked"</formula1>
      <formula2>0</formula2>
    </dataValidation>
    <dataValidation allowBlank="false" errorStyle="stop" operator="between" showDropDown="false" showErrorMessage="false" showInputMessage="false" sqref="I3:I101" type="list">
      <formula1>"0,25,50,75,100"</formula1>
      <formula2>0</formula2>
    </dataValidation>
    <dataValidation allowBlank="false" errorStyle="stop" operator="between" showDropDown="false" showErrorMessage="false" showInputMessage="false" sqref="K3:K101" type="list">
      <formula1>"Yes,No"</formula1>
      <formula2>0</formula2>
    </dataValidation>
  </dataValidations>
  <hyperlinks>
    <hyperlink ref="J10" r:id="rId1" display="https://github.com/Lekhelebana/WIL-Project"/>
    <hyperlink ref="J11" r:id="rId2" display="https://supabase.com/dashboard/project/qmcwfnupigrpkmtommc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extLst>
    <ext xmlns:x14="http://schemas.microsoft.com/office/spreadsheetml/2009/9/main" uri="{78C0D931-6437-407d-A8EE-F0AAD7539E65}">
      <x14:conditionalFormattings>
        <x14:conditionalFormatting xmlns:xm="http://schemas.microsoft.com/office/excel/2006/main">
          <x14:cfRule type="dataBar" id="{9D47F6CF-33D5-4138-B827-8B2C6AAF608F}">
            <x14:dataBar minLength="10" maxLength="90" axisPosition="none" gradient="true">
              <x14:cfvo type="min"/>
              <x14:cfvo type="max"/>
              <x14:negativeFillColor rgb="FF1F5A94"/>
              <x14:axisColor rgb="FF000000"/>
            </x14:dataBar>
          </x14:cfRule>
          <x14:cfRule type="dataBar" id="{4287E7DC-B951-4C26-9BC7-25606949C546}">
            <x14:dataBar minLength="10" maxLength="90" axisPosition="none" gradient="true">
              <x14:cfvo type="min"/>
              <x14:cfvo type="max"/>
              <x14:negativeFillColor rgb="FF1F5A94"/>
              <x14:axisColor rgb="FF000000"/>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6"/>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L3" activeCellId="0" sqref="L3"/>
    </sheetView>
  </sheetViews>
  <sheetFormatPr defaultColWidth="9.00390625" defaultRowHeight="14.2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9"/>
    <col collapsed="false" customWidth="true" hidden="false" outlineLevel="0" max="4" min="4" style="1" width="15"/>
    <col collapsed="false" customWidth="true" hidden="false" outlineLevel="0" max="5" min="5" style="1" width="32"/>
    <col collapsed="false" customWidth="true" hidden="false" outlineLevel="0" max="6" min="6" style="1" width="38"/>
    <col collapsed="false" customWidth="true" hidden="false" outlineLevel="0" max="7" min="7" style="1" width="14"/>
    <col collapsed="false" customWidth="true" hidden="false" outlineLevel="0" max="8" min="8" style="1" width="12"/>
    <col collapsed="false" customWidth="true" hidden="false" outlineLevel="0" max="9" min="9" style="1" width="34"/>
    <col collapsed="false" customWidth="true" hidden="false" outlineLevel="0" max="10" min="10" style="1" width="16"/>
    <col collapsed="false" customWidth="true" hidden="false" outlineLevel="0" max="11" min="11" style="1" width="14"/>
    <col collapsed="false" customWidth="true" hidden="false" outlineLevel="0" max="12" min="12" style="1" width="28"/>
  </cols>
  <sheetData>
    <row r="1" customFormat="false" ht="19.5" hidden="false" customHeight="true" outlineLevel="0" collapsed="false">
      <c r="A1" s="2" t="s">
        <v>183</v>
      </c>
      <c r="B1" s="2"/>
      <c r="C1" s="2"/>
      <c r="D1" s="2"/>
      <c r="E1" s="2"/>
      <c r="F1" s="2"/>
      <c r="G1" s="2"/>
      <c r="H1" s="2"/>
      <c r="I1" s="2"/>
      <c r="J1" s="2"/>
      <c r="K1" s="2"/>
      <c r="L1" s="2"/>
    </row>
    <row r="2" customFormat="false" ht="27.75" hidden="false" customHeight="true" outlineLevel="0" collapsed="false">
      <c r="A2" s="4" t="s">
        <v>184</v>
      </c>
      <c r="B2" s="4" t="s">
        <v>185</v>
      </c>
      <c r="C2" s="4" t="s">
        <v>83</v>
      </c>
      <c r="D2" s="4" t="s">
        <v>84</v>
      </c>
      <c r="E2" s="4" t="s">
        <v>186</v>
      </c>
      <c r="F2" s="4" t="s">
        <v>187</v>
      </c>
      <c r="G2" s="4" t="s">
        <v>188</v>
      </c>
      <c r="H2" s="4" t="s">
        <v>189</v>
      </c>
      <c r="I2" s="4" t="s">
        <v>91</v>
      </c>
      <c r="J2" s="4" t="s">
        <v>92</v>
      </c>
      <c r="K2" s="4" t="s">
        <v>190</v>
      </c>
      <c r="L2" s="4" t="s">
        <v>191</v>
      </c>
    </row>
    <row r="3" customFormat="false" ht="42" hidden="false" customHeight="true" outlineLevel="0" collapsed="false">
      <c r="A3" s="11" t="s">
        <v>143</v>
      </c>
      <c r="B3" s="11" t="n">
        <v>221000484</v>
      </c>
      <c r="C3" s="11" t="s">
        <v>32</v>
      </c>
      <c r="D3" s="11" t="s">
        <v>192</v>
      </c>
      <c r="E3" s="11" t="s">
        <v>193</v>
      </c>
      <c r="F3" s="11" t="s">
        <v>194</v>
      </c>
      <c r="G3" s="12" t="s">
        <v>195</v>
      </c>
      <c r="H3" s="19" t="s">
        <v>196</v>
      </c>
      <c r="I3" s="11" t="s">
        <v>197</v>
      </c>
      <c r="J3" s="11" t="s">
        <v>100</v>
      </c>
      <c r="K3" s="12" t="s">
        <v>198</v>
      </c>
      <c r="L3" s="11"/>
    </row>
    <row r="4" customFormat="false" ht="27.75" hidden="false" customHeight="true" outlineLevel="0" collapsed="false">
      <c r="A4" s="11" t="s">
        <v>155</v>
      </c>
      <c r="B4" s="11" t="n">
        <v>222075924</v>
      </c>
      <c r="C4" s="11" t="s">
        <v>32</v>
      </c>
      <c r="D4" s="11" t="s">
        <v>199</v>
      </c>
      <c r="E4" s="11" t="s">
        <v>200</v>
      </c>
      <c r="F4" s="11" t="s">
        <v>201</v>
      </c>
      <c r="G4" s="12" t="s">
        <v>202</v>
      </c>
      <c r="H4" s="19" t="s">
        <v>203</v>
      </c>
      <c r="I4" s="11" t="s">
        <v>204</v>
      </c>
      <c r="J4" s="11" t="s">
        <v>100</v>
      </c>
      <c r="K4" s="12" t="s">
        <v>198</v>
      </c>
      <c r="L4" s="11"/>
    </row>
    <row r="5" customFormat="false" ht="42" hidden="false" customHeight="true" outlineLevel="0" collapsed="false">
      <c r="A5" s="11" t="s">
        <v>205</v>
      </c>
      <c r="B5" s="11" t="n">
        <v>220007164</v>
      </c>
      <c r="C5" s="11" t="s">
        <v>32</v>
      </c>
      <c r="D5" s="11" t="s">
        <v>206</v>
      </c>
      <c r="E5" s="11" t="s">
        <v>207</v>
      </c>
      <c r="F5" s="11" t="s">
        <v>208</v>
      </c>
      <c r="G5" s="12" t="s">
        <v>198</v>
      </c>
      <c r="H5" s="19" t="s">
        <v>209</v>
      </c>
      <c r="I5" s="11" t="s">
        <v>210</v>
      </c>
      <c r="J5" s="11" t="s">
        <v>100</v>
      </c>
      <c r="K5" s="12" t="s">
        <v>198</v>
      </c>
      <c r="L5" s="11"/>
    </row>
    <row r="6" customFormat="false" ht="55.5" hidden="false" customHeight="true" outlineLevel="0" collapsed="false">
      <c r="A6" s="11" t="s">
        <v>163</v>
      </c>
      <c r="B6" s="11" t="n">
        <v>221023182</v>
      </c>
      <c r="C6" s="11" t="s">
        <v>32</v>
      </c>
      <c r="D6" s="11" t="s">
        <v>192</v>
      </c>
      <c r="E6" s="11" t="s">
        <v>211</v>
      </c>
      <c r="F6" s="11" t="s">
        <v>212</v>
      </c>
      <c r="G6" s="12" t="s">
        <v>198</v>
      </c>
      <c r="H6" s="19" t="s">
        <v>213</v>
      </c>
      <c r="I6" s="11" t="s">
        <v>214</v>
      </c>
      <c r="J6" s="11" t="s">
        <v>100</v>
      </c>
      <c r="K6" s="12" t="s">
        <v>198</v>
      </c>
      <c r="L6" s="11"/>
    </row>
    <row r="7" customFormat="false" ht="55.5" hidden="false" customHeight="true" outlineLevel="0" collapsed="false">
      <c r="A7" s="11" t="s">
        <v>135</v>
      </c>
      <c r="B7" s="11" t="n">
        <v>221027400</v>
      </c>
      <c r="C7" s="11" t="s">
        <v>32</v>
      </c>
      <c r="D7" s="11" t="s">
        <v>192</v>
      </c>
      <c r="E7" s="11" t="s">
        <v>215</v>
      </c>
      <c r="F7" s="11" t="s">
        <v>216</v>
      </c>
      <c r="G7" s="12" t="s">
        <v>217</v>
      </c>
      <c r="H7" s="19" t="s">
        <v>218</v>
      </c>
      <c r="I7" s="11" t="s">
        <v>219</v>
      </c>
      <c r="J7" s="11" t="s">
        <v>100</v>
      </c>
      <c r="K7" s="12" t="s">
        <v>198</v>
      </c>
      <c r="L7" s="11"/>
    </row>
    <row r="8" customFormat="false" ht="42" hidden="false" customHeight="true" outlineLevel="0" collapsed="false">
      <c r="A8" s="11" t="s">
        <v>143</v>
      </c>
      <c r="B8" s="11" t="n">
        <v>221000484</v>
      </c>
      <c r="C8" s="11" t="s">
        <v>76</v>
      </c>
      <c r="D8" s="11" t="s">
        <v>220</v>
      </c>
      <c r="E8" s="11" t="s">
        <v>221</v>
      </c>
      <c r="F8" s="11" t="s">
        <v>222</v>
      </c>
      <c r="G8" s="12" t="s">
        <v>223</v>
      </c>
      <c r="H8" s="19" t="s">
        <v>224</v>
      </c>
      <c r="I8" s="11" t="s">
        <v>225</v>
      </c>
      <c r="J8" s="11" t="s">
        <v>100</v>
      </c>
      <c r="K8" s="12" t="s">
        <v>226</v>
      </c>
      <c r="L8" s="11"/>
    </row>
    <row r="9" customFormat="false" ht="42" hidden="false" customHeight="true" outlineLevel="0" collapsed="false">
      <c r="A9" s="11" t="s">
        <v>147</v>
      </c>
      <c r="B9" s="11" t="n">
        <v>219015068</v>
      </c>
      <c r="C9" s="11" t="s">
        <v>76</v>
      </c>
      <c r="D9" s="11" t="s">
        <v>227</v>
      </c>
      <c r="E9" s="11" t="s">
        <v>228</v>
      </c>
      <c r="F9" s="11" t="s">
        <v>229</v>
      </c>
      <c r="G9" s="12" t="s">
        <v>230</v>
      </c>
      <c r="H9" s="19" t="s">
        <v>218</v>
      </c>
      <c r="I9" s="11" t="s">
        <v>231</v>
      </c>
      <c r="J9" s="11" t="s">
        <v>100</v>
      </c>
      <c r="K9" s="12" t="s">
        <v>226</v>
      </c>
      <c r="L9" s="11"/>
    </row>
    <row r="10" customFormat="false" ht="42" hidden="false" customHeight="true" outlineLevel="0" collapsed="false">
      <c r="A10" s="11" t="s">
        <v>151</v>
      </c>
      <c r="B10" s="11" t="n">
        <v>220007164</v>
      </c>
      <c r="C10" s="11" t="s">
        <v>76</v>
      </c>
      <c r="D10" s="11" t="s">
        <v>232</v>
      </c>
      <c r="E10" s="11" t="s">
        <v>233</v>
      </c>
      <c r="F10" s="11" t="s">
        <v>234</v>
      </c>
      <c r="G10" s="12" t="s">
        <v>235</v>
      </c>
      <c r="H10" s="19" t="s">
        <v>224</v>
      </c>
      <c r="I10" s="11" t="s">
        <v>236</v>
      </c>
      <c r="J10" s="11" t="s">
        <v>100</v>
      </c>
      <c r="K10" s="12" t="s">
        <v>226</v>
      </c>
      <c r="L10" s="11"/>
    </row>
    <row r="11" customFormat="false" ht="42" hidden="false" customHeight="true" outlineLevel="0" collapsed="false">
      <c r="A11" s="11" t="s">
        <v>155</v>
      </c>
      <c r="B11" s="11" t="n">
        <v>222075924</v>
      </c>
      <c r="C11" s="11" t="s">
        <v>76</v>
      </c>
      <c r="D11" s="11" t="s">
        <v>237</v>
      </c>
      <c r="E11" s="11" t="s">
        <v>238</v>
      </c>
      <c r="F11" s="11" t="s">
        <v>239</v>
      </c>
      <c r="G11" s="12" t="s">
        <v>226</v>
      </c>
      <c r="H11" s="19" t="s">
        <v>218</v>
      </c>
      <c r="I11" s="11" t="s">
        <v>240</v>
      </c>
      <c r="J11" s="11" t="s">
        <v>100</v>
      </c>
      <c r="K11" s="12" t="s">
        <v>226</v>
      </c>
      <c r="L11" s="11"/>
    </row>
    <row r="12" customFormat="false" ht="42" hidden="false" customHeight="true" outlineLevel="0" collapsed="false">
      <c r="A12" s="11" t="s">
        <v>163</v>
      </c>
      <c r="B12" s="11" t="n">
        <v>221023182</v>
      </c>
      <c r="C12" s="11" t="s">
        <v>76</v>
      </c>
      <c r="D12" s="11" t="s">
        <v>241</v>
      </c>
      <c r="E12" s="11" t="s">
        <v>242</v>
      </c>
      <c r="F12" s="11" t="s">
        <v>243</v>
      </c>
      <c r="G12" s="12" t="s">
        <v>226</v>
      </c>
      <c r="H12" s="19" t="s">
        <v>224</v>
      </c>
      <c r="I12" s="11" t="s">
        <v>244</v>
      </c>
      <c r="J12" s="11" t="s">
        <v>100</v>
      </c>
      <c r="K12" s="12" t="s">
        <v>226</v>
      </c>
      <c r="L12" s="11"/>
    </row>
    <row r="13" customFormat="false" ht="42" hidden="false" customHeight="true" outlineLevel="0" collapsed="false">
      <c r="A13" s="11" t="s">
        <v>135</v>
      </c>
      <c r="B13" s="11" t="n">
        <v>221027400</v>
      </c>
      <c r="C13" s="11" t="s">
        <v>76</v>
      </c>
      <c r="D13" s="11" t="s">
        <v>245</v>
      </c>
      <c r="E13" s="11" t="s">
        <v>246</v>
      </c>
      <c r="F13" s="11" t="s">
        <v>247</v>
      </c>
      <c r="G13" s="12" t="s">
        <v>226</v>
      </c>
      <c r="H13" s="19" t="s">
        <v>224</v>
      </c>
      <c r="I13" s="11" t="s">
        <v>248</v>
      </c>
      <c r="J13" s="11" t="s">
        <v>100</v>
      </c>
      <c r="K13" s="12" t="s">
        <v>226</v>
      </c>
      <c r="L13" s="11"/>
    </row>
    <row r="14" customFormat="false" ht="14.25" hidden="false" customHeight="true" outlineLevel="0" collapsed="false">
      <c r="A14" s="11"/>
      <c r="B14" s="11"/>
      <c r="C14" s="11"/>
      <c r="D14" s="11"/>
      <c r="E14" s="11"/>
      <c r="F14" s="11"/>
      <c r="G14" s="12"/>
      <c r="H14" s="19"/>
      <c r="I14" s="11"/>
      <c r="J14" s="11"/>
      <c r="K14" s="12"/>
      <c r="L14" s="11"/>
    </row>
    <row r="15" customFormat="false" ht="14.25" hidden="false" customHeight="true" outlineLevel="0" collapsed="false">
      <c r="A15" s="11"/>
      <c r="B15" s="11"/>
      <c r="C15" s="11"/>
      <c r="D15" s="11"/>
      <c r="E15" s="11"/>
      <c r="F15" s="11"/>
      <c r="G15" s="12"/>
      <c r="H15" s="19"/>
      <c r="I15" s="11"/>
      <c r="J15" s="11"/>
      <c r="K15" s="12"/>
      <c r="L15" s="11"/>
    </row>
    <row r="16" customFormat="false" ht="14.25" hidden="false" customHeight="true" outlineLevel="0" collapsed="false">
      <c r="A16" s="11"/>
      <c r="B16" s="11"/>
      <c r="C16" s="11"/>
      <c r="D16" s="11"/>
      <c r="E16" s="11"/>
      <c r="F16" s="11"/>
      <c r="G16" s="12"/>
      <c r="H16" s="19"/>
      <c r="I16" s="11"/>
      <c r="J16" s="11"/>
      <c r="K16" s="12"/>
      <c r="L16" s="11"/>
    </row>
    <row r="17" customFormat="false" ht="14.25" hidden="false" customHeight="true" outlineLevel="0" collapsed="false">
      <c r="A17" s="11"/>
      <c r="B17" s="11"/>
      <c r="C17" s="11"/>
      <c r="D17" s="11"/>
      <c r="E17" s="11"/>
      <c r="F17" s="11"/>
      <c r="G17" s="12"/>
      <c r="H17" s="19"/>
      <c r="I17" s="11"/>
      <c r="J17" s="11"/>
      <c r="K17" s="12"/>
      <c r="L17" s="11"/>
    </row>
    <row r="18" customFormat="false" ht="14.25" hidden="false" customHeight="true" outlineLevel="0" collapsed="false">
      <c r="A18" s="11"/>
      <c r="B18" s="11"/>
      <c r="C18" s="11"/>
      <c r="D18" s="11"/>
      <c r="E18" s="11"/>
      <c r="F18" s="11"/>
      <c r="G18" s="12"/>
      <c r="H18" s="19"/>
      <c r="I18" s="11"/>
      <c r="J18" s="11"/>
      <c r="K18" s="12"/>
      <c r="L18" s="11"/>
    </row>
    <row r="19" customFormat="false" ht="14.25" hidden="false" customHeight="true" outlineLevel="0" collapsed="false">
      <c r="A19" s="11"/>
      <c r="B19" s="11"/>
      <c r="C19" s="11"/>
      <c r="D19" s="11"/>
      <c r="E19" s="11"/>
      <c r="F19" s="11"/>
      <c r="G19" s="12"/>
      <c r="H19" s="19"/>
      <c r="I19" s="11"/>
      <c r="J19" s="11"/>
      <c r="K19" s="12"/>
      <c r="L19" s="11"/>
    </row>
    <row r="20" customFormat="false" ht="14.25" hidden="false" customHeight="true" outlineLevel="0" collapsed="false">
      <c r="A20" s="11"/>
      <c r="B20" s="11"/>
      <c r="C20" s="11"/>
      <c r="D20" s="11"/>
      <c r="E20" s="11"/>
      <c r="F20" s="11"/>
      <c r="G20" s="12"/>
      <c r="H20" s="19"/>
      <c r="I20" s="11"/>
      <c r="J20" s="11"/>
      <c r="K20" s="12"/>
      <c r="L20" s="11"/>
    </row>
    <row r="21" customFormat="false" ht="14.25" hidden="false" customHeight="true" outlineLevel="0" collapsed="false">
      <c r="A21" s="11"/>
      <c r="B21" s="11"/>
      <c r="C21" s="11"/>
      <c r="D21" s="11"/>
      <c r="E21" s="11"/>
      <c r="F21" s="11"/>
      <c r="G21" s="12"/>
      <c r="H21" s="19"/>
      <c r="I21" s="11"/>
      <c r="J21" s="11"/>
      <c r="K21" s="12"/>
      <c r="L21" s="11"/>
    </row>
    <row r="22" customFormat="false" ht="14.25" hidden="false" customHeight="true" outlineLevel="0" collapsed="false">
      <c r="A22" s="11"/>
      <c r="B22" s="11"/>
      <c r="C22" s="11"/>
      <c r="D22" s="11"/>
      <c r="E22" s="11"/>
      <c r="F22" s="11"/>
      <c r="G22" s="12"/>
      <c r="H22" s="19"/>
      <c r="I22" s="11"/>
      <c r="J22" s="11"/>
      <c r="K22" s="12"/>
      <c r="L22" s="11"/>
    </row>
    <row r="23" customFormat="false" ht="14.25" hidden="false" customHeight="true" outlineLevel="0" collapsed="false">
      <c r="A23" s="11"/>
      <c r="B23" s="11"/>
      <c r="C23" s="11"/>
      <c r="D23" s="11"/>
      <c r="E23" s="11"/>
      <c r="F23" s="11"/>
      <c r="G23" s="12"/>
      <c r="H23" s="19"/>
      <c r="I23" s="11"/>
      <c r="J23" s="11"/>
      <c r="K23" s="12"/>
      <c r="L23" s="11"/>
    </row>
    <row r="24" customFormat="false" ht="14.25" hidden="false" customHeight="true" outlineLevel="0" collapsed="false">
      <c r="A24" s="11"/>
      <c r="B24" s="11"/>
      <c r="C24" s="11"/>
      <c r="D24" s="11"/>
      <c r="E24" s="11"/>
      <c r="F24" s="11"/>
      <c r="G24" s="12"/>
      <c r="H24" s="19"/>
      <c r="I24" s="11"/>
      <c r="J24" s="11"/>
      <c r="K24" s="12"/>
      <c r="L24" s="11"/>
    </row>
    <row r="25" customFormat="false" ht="14.25" hidden="false" customHeight="true" outlineLevel="0" collapsed="false">
      <c r="A25" s="11"/>
      <c r="B25" s="11"/>
      <c r="C25" s="11"/>
      <c r="D25" s="11"/>
      <c r="E25" s="11"/>
      <c r="F25" s="11"/>
      <c r="G25" s="12"/>
      <c r="H25" s="19"/>
      <c r="I25" s="11"/>
      <c r="J25" s="11"/>
      <c r="K25" s="12"/>
      <c r="L25" s="11"/>
    </row>
    <row r="26" customFormat="false" ht="14.25" hidden="false" customHeight="true" outlineLevel="0" collapsed="false">
      <c r="A26" s="11"/>
      <c r="B26" s="11"/>
      <c r="C26" s="11"/>
      <c r="D26" s="11"/>
      <c r="E26" s="11"/>
      <c r="F26" s="11"/>
      <c r="G26" s="12"/>
      <c r="H26" s="19"/>
      <c r="I26" s="11"/>
      <c r="J26" s="11"/>
      <c r="K26" s="12"/>
      <c r="L26" s="11"/>
    </row>
    <row r="27" customFormat="false" ht="14.25" hidden="false" customHeight="true" outlineLevel="0" collapsed="false">
      <c r="A27" s="11"/>
      <c r="B27" s="11"/>
      <c r="C27" s="11"/>
      <c r="D27" s="11"/>
      <c r="E27" s="11"/>
      <c r="F27" s="11"/>
      <c r="G27" s="12"/>
      <c r="H27" s="19"/>
      <c r="I27" s="11"/>
      <c r="J27" s="11"/>
      <c r="K27" s="12"/>
      <c r="L27" s="11"/>
    </row>
    <row r="28" customFormat="false" ht="14.25" hidden="false" customHeight="true" outlineLevel="0" collapsed="false">
      <c r="A28" s="11"/>
      <c r="B28" s="11"/>
      <c r="C28" s="11"/>
      <c r="D28" s="11"/>
      <c r="E28" s="11"/>
      <c r="F28" s="11"/>
      <c r="G28" s="12"/>
      <c r="H28" s="19"/>
      <c r="I28" s="11"/>
      <c r="J28" s="11"/>
      <c r="K28" s="12"/>
      <c r="L28" s="11"/>
    </row>
    <row r="29" customFormat="false" ht="14.25" hidden="false" customHeight="true" outlineLevel="0" collapsed="false">
      <c r="A29" s="11"/>
      <c r="B29" s="11"/>
      <c r="C29" s="11"/>
      <c r="D29" s="11"/>
      <c r="E29" s="11"/>
      <c r="F29" s="11"/>
      <c r="G29" s="12"/>
      <c r="H29" s="19"/>
      <c r="I29" s="11"/>
      <c r="J29" s="11"/>
      <c r="K29" s="12"/>
      <c r="L29" s="11"/>
    </row>
    <row r="30" customFormat="false" ht="14.25" hidden="false" customHeight="true" outlineLevel="0" collapsed="false">
      <c r="A30" s="11"/>
      <c r="B30" s="11"/>
      <c r="C30" s="11"/>
      <c r="D30" s="11"/>
      <c r="E30" s="11"/>
      <c r="F30" s="11"/>
      <c r="G30" s="12"/>
      <c r="H30" s="19"/>
      <c r="I30" s="11"/>
      <c r="J30" s="11"/>
      <c r="K30" s="12"/>
      <c r="L30" s="11"/>
    </row>
    <row r="31" customFormat="false" ht="14.25" hidden="false" customHeight="true" outlineLevel="0" collapsed="false">
      <c r="A31" s="11"/>
      <c r="B31" s="11"/>
      <c r="C31" s="11"/>
      <c r="D31" s="11"/>
      <c r="E31" s="11"/>
      <c r="F31" s="11"/>
      <c r="G31" s="12"/>
      <c r="H31" s="19"/>
      <c r="I31" s="11"/>
      <c r="J31" s="11"/>
      <c r="K31" s="12"/>
      <c r="L31" s="11"/>
    </row>
    <row r="32" customFormat="false" ht="14.25" hidden="false" customHeight="true" outlineLevel="0" collapsed="false">
      <c r="A32" s="11"/>
      <c r="B32" s="11"/>
      <c r="C32" s="11"/>
      <c r="D32" s="11"/>
      <c r="E32" s="11"/>
      <c r="F32" s="11"/>
      <c r="G32" s="12"/>
      <c r="H32" s="19"/>
      <c r="I32" s="11"/>
      <c r="J32" s="11"/>
      <c r="K32" s="12"/>
      <c r="L32" s="11"/>
    </row>
    <row r="33" customFormat="false" ht="14.25" hidden="false" customHeight="true" outlineLevel="0" collapsed="false">
      <c r="A33" s="11"/>
      <c r="B33" s="11"/>
      <c r="C33" s="11"/>
      <c r="D33" s="11"/>
      <c r="E33" s="11"/>
      <c r="F33" s="11"/>
      <c r="G33" s="12"/>
      <c r="H33" s="19"/>
      <c r="I33" s="11"/>
      <c r="J33" s="11"/>
      <c r="K33" s="12"/>
      <c r="L33" s="11"/>
    </row>
    <row r="34" customFormat="false" ht="14.25" hidden="false" customHeight="true" outlineLevel="0" collapsed="false">
      <c r="A34" s="11"/>
      <c r="B34" s="11"/>
      <c r="C34" s="11"/>
      <c r="D34" s="11"/>
      <c r="E34" s="11"/>
      <c r="F34" s="11"/>
      <c r="G34" s="12"/>
      <c r="H34" s="19"/>
      <c r="I34" s="11"/>
      <c r="J34" s="11"/>
      <c r="K34" s="12"/>
      <c r="L34" s="11"/>
    </row>
    <row r="35" customFormat="false" ht="14.25" hidden="false" customHeight="true" outlineLevel="0" collapsed="false">
      <c r="A35" s="11"/>
      <c r="B35" s="11"/>
      <c r="C35" s="11"/>
      <c r="D35" s="11"/>
      <c r="E35" s="11"/>
      <c r="F35" s="11"/>
      <c r="G35" s="12"/>
      <c r="H35" s="19"/>
      <c r="I35" s="11"/>
      <c r="J35" s="11"/>
      <c r="K35" s="12"/>
      <c r="L35" s="11"/>
    </row>
    <row r="36" customFormat="false" ht="14.25" hidden="false" customHeight="true" outlineLevel="0" collapsed="false">
      <c r="A36" s="11"/>
      <c r="B36" s="11"/>
      <c r="C36" s="11"/>
      <c r="D36" s="11"/>
      <c r="E36" s="11"/>
      <c r="F36" s="11"/>
      <c r="G36" s="12"/>
      <c r="H36" s="19"/>
      <c r="I36" s="11"/>
      <c r="J36" s="11"/>
      <c r="K36" s="12"/>
      <c r="L36" s="11"/>
    </row>
    <row r="37" customFormat="false" ht="14.25" hidden="false" customHeight="true" outlineLevel="0" collapsed="false">
      <c r="A37" s="11"/>
      <c r="B37" s="11"/>
      <c r="C37" s="11"/>
      <c r="D37" s="11"/>
      <c r="E37" s="11"/>
      <c r="F37" s="11"/>
      <c r="G37" s="12"/>
      <c r="H37" s="19"/>
      <c r="I37" s="11"/>
      <c r="J37" s="11"/>
      <c r="K37" s="12"/>
      <c r="L37" s="11"/>
    </row>
    <row r="38" customFormat="false" ht="14.25" hidden="false" customHeight="true" outlineLevel="0" collapsed="false">
      <c r="A38" s="11"/>
      <c r="B38" s="11"/>
      <c r="C38" s="11"/>
      <c r="D38" s="11"/>
      <c r="E38" s="11"/>
      <c r="F38" s="11"/>
      <c r="G38" s="12"/>
      <c r="H38" s="19"/>
      <c r="I38" s="11"/>
      <c r="J38" s="11"/>
      <c r="K38" s="12"/>
      <c r="L38" s="11"/>
    </row>
    <row r="39" customFormat="false" ht="14.25" hidden="false" customHeight="true" outlineLevel="0" collapsed="false">
      <c r="A39" s="11"/>
      <c r="B39" s="11"/>
      <c r="C39" s="11"/>
      <c r="D39" s="11"/>
      <c r="E39" s="11"/>
      <c r="F39" s="11"/>
      <c r="G39" s="12"/>
      <c r="H39" s="19"/>
      <c r="I39" s="11"/>
      <c r="J39" s="11"/>
      <c r="K39" s="12"/>
      <c r="L39" s="11"/>
    </row>
    <row r="40" customFormat="false" ht="14.25" hidden="false" customHeight="true" outlineLevel="0" collapsed="false">
      <c r="A40" s="11"/>
      <c r="B40" s="11"/>
      <c r="C40" s="11"/>
      <c r="D40" s="11"/>
      <c r="E40" s="11"/>
      <c r="F40" s="11"/>
      <c r="G40" s="12"/>
      <c r="H40" s="19"/>
      <c r="I40" s="11"/>
      <c r="J40" s="11"/>
      <c r="K40" s="12"/>
      <c r="L40" s="11"/>
    </row>
    <row r="41" customFormat="false" ht="14.25" hidden="false" customHeight="true" outlineLevel="0" collapsed="false">
      <c r="A41" s="11"/>
      <c r="B41" s="11"/>
      <c r="C41" s="11"/>
      <c r="D41" s="11"/>
      <c r="E41" s="11"/>
      <c r="F41" s="11"/>
      <c r="G41" s="12"/>
      <c r="H41" s="19"/>
      <c r="I41" s="11"/>
      <c r="J41" s="11"/>
      <c r="K41" s="12"/>
      <c r="L41" s="11"/>
    </row>
    <row r="42" customFormat="false" ht="14.25" hidden="false" customHeight="true" outlineLevel="0" collapsed="false">
      <c r="A42" s="11"/>
      <c r="B42" s="11"/>
      <c r="C42" s="11"/>
      <c r="D42" s="11"/>
      <c r="E42" s="11"/>
      <c r="F42" s="11"/>
      <c r="G42" s="12"/>
      <c r="H42" s="19"/>
      <c r="I42" s="11"/>
      <c r="J42" s="11"/>
      <c r="K42" s="12"/>
      <c r="L42" s="11"/>
    </row>
    <row r="43" customFormat="false" ht="14.25" hidden="false" customHeight="true" outlineLevel="0" collapsed="false">
      <c r="A43" s="11"/>
      <c r="B43" s="11"/>
      <c r="C43" s="11"/>
      <c r="D43" s="11"/>
      <c r="E43" s="11"/>
      <c r="F43" s="11"/>
      <c r="G43" s="12"/>
      <c r="H43" s="19"/>
      <c r="I43" s="11"/>
      <c r="J43" s="11"/>
      <c r="K43" s="12"/>
      <c r="L43" s="11"/>
    </row>
    <row r="44" customFormat="false" ht="14.25" hidden="false" customHeight="true" outlineLevel="0" collapsed="false">
      <c r="A44" s="11"/>
      <c r="B44" s="11"/>
      <c r="C44" s="11"/>
      <c r="D44" s="11"/>
      <c r="E44" s="11"/>
      <c r="F44" s="11"/>
      <c r="G44" s="12"/>
      <c r="H44" s="19"/>
      <c r="I44" s="11"/>
      <c r="J44" s="11"/>
      <c r="K44" s="12"/>
      <c r="L44" s="11"/>
    </row>
    <row r="45" customFormat="false" ht="14.25" hidden="false" customHeight="true" outlineLevel="0" collapsed="false">
      <c r="A45" s="11"/>
      <c r="B45" s="11"/>
      <c r="C45" s="11"/>
      <c r="D45" s="11"/>
      <c r="E45" s="11"/>
      <c r="F45" s="11"/>
      <c r="G45" s="12"/>
      <c r="H45" s="19"/>
      <c r="I45" s="11"/>
      <c r="J45" s="11"/>
      <c r="K45" s="12"/>
      <c r="L45" s="11"/>
    </row>
    <row r="46" customFormat="false" ht="14.25" hidden="false" customHeight="true" outlineLevel="0" collapsed="false">
      <c r="A46" s="11"/>
      <c r="B46" s="11"/>
      <c r="C46" s="11"/>
      <c r="D46" s="11"/>
      <c r="E46" s="11"/>
      <c r="F46" s="11"/>
      <c r="G46" s="12"/>
      <c r="H46" s="19"/>
      <c r="I46" s="11"/>
      <c r="J46" s="11"/>
      <c r="K46" s="12"/>
      <c r="L46" s="11"/>
    </row>
    <row r="47" customFormat="false" ht="14.25" hidden="false" customHeight="true" outlineLevel="0" collapsed="false">
      <c r="A47" s="11"/>
      <c r="B47" s="11"/>
      <c r="C47" s="11"/>
      <c r="D47" s="11"/>
      <c r="E47" s="11"/>
      <c r="F47" s="11"/>
      <c r="G47" s="12"/>
      <c r="H47" s="19"/>
      <c r="I47" s="11"/>
      <c r="J47" s="11"/>
      <c r="K47" s="12"/>
      <c r="L47" s="11"/>
    </row>
    <row r="48" customFormat="false" ht="14.25" hidden="false" customHeight="true" outlineLevel="0" collapsed="false">
      <c r="A48" s="11"/>
      <c r="B48" s="11"/>
      <c r="C48" s="11"/>
      <c r="D48" s="11"/>
      <c r="E48" s="11"/>
      <c r="F48" s="11"/>
      <c r="G48" s="12"/>
      <c r="H48" s="19"/>
      <c r="I48" s="11"/>
      <c r="J48" s="11"/>
      <c r="K48" s="12"/>
      <c r="L48" s="11"/>
    </row>
    <row r="49" customFormat="false" ht="14.25" hidden="false" customHeight="true" outlineLevel="0" collapsed="false">
      <c r="A49" s="11"/>
      <c r="B49" s="11"/>
      <c r="C49" s="11"/>
      <c r="D49" s="11"/>
      <c r="E49" s="11"/>
      <c r="F49" s="11"/>
      <c r="G49" s="12"/>
      <c r="H49" s="19"/>
      <c r="I49" s="11"/>
      <c r="J49" s="11"/>
      <c r="K49" s="12"/>
      <c r="L49" s="11"/>
    </row>
    <row r="50" customFormat="false" ht="14.25" hidden="false" customHeight="true" outlineLevel="0" collapsed="false">
      <c r="A50" s="11"/>
      <c r="B50" s="11"/>
      <c r="C50" s="11"/>
      <c r="D50" s="11"/>
      <c r="E50" s="11"/>
      <c r="F50" s="11"/>
      <c r="G50" s="12"/>
      <c r="H50" s="19"/>
      <c r="I50" s="11"/>
      <c r="J50" s="11"/>
      <c r="K50" s="12"/>
      <c r="L50" s="11"/>
    </row>
    <row r="51" customFormat="false" ht="14.25" hidden="false" customHeight="true" outlineLevel="0" collapsed="false">
      <c r="A51" s="11"/>
      <c r="B51" s="11"/>
      <c r="C51" s="11"/>
      <c r="D51" s="11"/>
      <c r="E51" s="11"/>
      <c r="F51" s="11"/>
      <c r="G51" s="12"/>
      <c r="H51" s="19"/>
      <c r="I51" s="11"/>
      <c r="J51" s="11"/>
      <c r="K51" s="12"/>
      <c r="L51" s="11"/>
    </row>
    <row r="52" customFormat="false" ht="14.25" hidden="false" customHeight="true" outlineLevel="0" collapsed="false">
      <c r="A52" s="11"/>
      <c r="B52" s="11"/>
      <c r="C52" s="11"/>
      <c r="D52" s="11"/>
      <c r="E52" s="11"/>
      <c r="F52" s="11"/>
      <c r="G52" s="12"/>
      <c r="H52" s="19"/>
      <c r="I52" s="11"/>
      <c r="J52" s="11"/>
      <c r="K52" s="12"/>
      <c r="L52" s="11"/>
    </row>
    <row r="53" customFormat="false" ht="14.25" hidden="false" customHeight="true" outlineLevel="0" collapsed="false">
      <c r="A53" s="11"/>
      <c r="B53" s="11"/>
      <c r="C53" s="11"/>
      <c r="D53" s="11"/>
      <c r="E53" s="11"/>
      <c r="F53" s="11"/>
      <c r="G53" s="12"/>
      <c r="H53" s="19"/>
      <c r="I53" s="11"/>
      <c r="J53" s="11"/>
      <c r="K53" s="12"/>
      <c r="L53" s="11"/>
    </row>
    <row r="54" customFormat="false" ht="14.25" hidden="false" customHeight="true" outlineLevel="0" collapsed="false">
      <c r="A54" s="11"/>
      <c r="B54" s="11"/>
      <c r="C54" s="11"/>
      <c r="D54" s="11"/>
      <c r="E54" s="11"/>
      <c r="F54" s="11"/>
      <c r="G54" s="12"/>
      <c r="H54" s="19"/>
      <c r="I54" s="11"/>
      <c r="J54" s="11"/>
      <c r="K54" s="12"/>
      <c r="L54" s="11"/>
    </row>
    <row r="55" customFormat="false" ht="14.25" hidden="false" customHeight="true" outlineLevel="0" collapsed="false">
      <c r="A55" s="11"/>
      <c r="B55" s="11"/>
      <c r="C55" s="11"/>
      <c r="D55" s="11"/>
      <c r="E55" s="11"/>
      <c r="F55" s="11"/>
      <c r="G55" s="12"/>
      <c r="H55" s="19"/>
      <c r="I55" s="11"/>
      <c r="J55" s="11"/>
      <c r="K55" s="12"/>
      <c r="L55" s="11"/>
    </row>
    <row r="56" customFormat="false" ht="14.25" hidden="false" customHeight="true" outlineLevel="0" collapsed="false">
      <c r="A56" s="11"/>
      <c r="B56" s="11"/>
      <c r="C56" s="11"/>
      <c r="D56" s="11"/>
      <c r="E56" s="11"/>
      <c r="F56" s="11"/>
      <c r="G56" s="12"/>
      <c r="H56" s="19"/>
      <c r="I56" s="11"/>
      <c r="J56" s="11"/>
      <c r="K56" s="12"/>
      <c r="L56" s="11"/>
    </row>
    <row r="57" customFormat="false" ht="14.25" hidden="false" customHeight="true" outlineLevel="0" collapsed="false">
      <c r="A57" s="11"/>
      <c r="B57" s="11"/>
      <c r="C57" s="11"/>
      <c r="D57" s="11"/>
      <c r="E57" s="11"/>
      <c r="F57" s="11"/>
      <c r="G57" s="12"/>
      <c r="H57" s="19"/>
      <c r="I57" s="11"/>
      <c r="J57" s="11"/>
      <c r="K57" s="12"/>
      <c r="L57" s="11"/>
    </row>
    <row r="58" customFormat="false" ht="14.25" hidden="false" customHeight="true" outlineLevel="0" collapsed="false">
      <c r="A58" s="11"/>
      <c r="B58" s="11"/>
      <c r="C58" s="11"/>
      <c r="D58" s="11"/>
      <c r="E58" s="11"/>
      <c r="F58" s="11"/>
      <c r="G58" s="12"/>
      <c r="H58" s="19"/>
      <c r="I58" s="11"/>
      <c r="J58" s="11"/>
      <c r="K58" s="12"/>
      <c r="L58" s="11"/>
    </row>
    <row r="59" customFormat="false" ht="14.25" hidden="false" customHeight="true" outlineLevel="0" collapsed="false">
      <c r="A59" s="11"/>
      <c r="B59" s="11"/>
      <c r="C59" s="11"/>
      <c r="D59" s="11"/>
      <c r="E59" s="11"/>
      <c r="F59" s="11"/>
      <c r="G59" s="12"/>
      <c r="H59" s="19"/>
      <c r="I59" s="11"/>
      <c r="J59" s="11"/>
      <c r="K59" s="12"/>
      <c r="L59" s="11"/>
    </row>
    <row r="60" customFormat="false" ht="14.25" hidden="false" customHeight="true" outlineLevel="0" collapsed="false">
      <c r="A60" s="11"/>
      <c r="B60" s="11"/>
      <c r="C60" s="11"/>
      <c r="D60" s="11"/>
      <c r="E60" s="11"/>
      <c r="F60" s="11"/>
      <c r="G60" s="12"/>
      <c r="H60" s="19"/>
      <c r="I60" s="11"/>
      <c r="J60" s="11"/>
      <c r="K60" s="12"/>
      <c r="L60" s="11"/>
    </row>
    <row r="61" customFormat="false" ht="14.25" hidden="false" customHeight="true" outlineLevel="0" collapsed="false">
      <c r="A61" s="11"/>
      <c r="B61" s="11"/>
      <c r="C61" s="11"/>
      <c r="D61" s="11"/>
      <c r="E61" s="11"/>
      <c r="F61" s="11"/>
      <c r="G61" s="12"/>
      <c r="H61" s="19"/>
      <c r="I61" s="11"/>
      <c r="J61" s="11"/>
      <c r="K61" s="12"/>
      <c r="L61" s="11"/>
    </row>
    <row r="62" customFormat="false" ht="14.25" hidden="false" customHeight="true" outlineLevel="0" collapsed="false">
      <c r="A62" s="11"/>
      <c r="B62" s="11"/>
      <c r="C62" s="11"/>
      <c r="D62" s="11"/>
      <c r="E62" s="11"/>
      <c r="F62" s="11"/>
      <c r="G62" s="12"/>
      <c r="H62" s="19"/>
      <c r="I62" s="11"/>
      <c r="J62" s="11"/>
      <c r="K62" s="12"/>
      <c r="L62" s="11"/>
    </row>
    <row r="63" customFormat="false" ht="14.25" hidden="false" customHeight="true" outlineLevel="0" collapsed="false">
      <c r="A63" s="11"/>
      <c r="B63" s="11"/>
      <c r="C63" s="11"/>
      <c r="D63" s="11"/>
      <c r="E63" s="11"/>
      <c r="F63" s="11"/>
      <c r="G63" s="12"/>
      <c r="H63" s="19"/>
      <c r="I63" s="11"/>
      <c r="J63" s="11"/>
      <c r="K63" s="12"/>
      <c r="L63" s="11"/>
    </row>
    <row r="64" customFormat="false" ht="14.25" hidden="false" customHeight="true" outlineLevel="0" collapsed="false">
      <c r="A64" s="11"/>
      <c r="B64" s="11"/>
      <c r="C64" s="11"/>
      <c r="D64" s="11"/>
      <c r="E64" s="11"/>
      <c r="F64" s="11"/>
      <c r="G64" s="12"/>
      <c r="H64" s="19"/>
      <c r="I64" s="11"/>
      <c r="J64" s="11"/>
      <c r="K64" s="12"/>
      <c r="L64" s="11"/>
    </row>
    <row r="65" customFormat="false" ht="14.25" hidden="false" customHeight="true" outlineLevel="0" collapsed="false">
      <c r="A65" s="11"/>
      <c r="B65" s="11"/>
      <c r="C65" s="11"/>
      <c r="D65" s="11"/>
      <c r="E65" s="11"/>
      <c r="F65" s="11"/>
      <c r="G65" s="12"/>
      <c r="H65" s="19"/>
      <c r="I65" s="11"/>
      <c r="J65" s="11"/>
      <c r="K65" s="12"/>
      <c r="L65" s="11"/>
    </row>
    <row r="66" customFormat="false" ht="14.25" hidden="false" customHeight="true" outlineLevel="0" collapsed="false">
      <c r="A66" s="11"/>
      <c r="B66" s="11"/>
      <c r="C66" s="11"/>
      <c r="D66" s="11"/>
      <c r="E66" s="11"/>
      <c r="F66" s="11"/>
      <c r="G66" s="12"/>
      <c r="H66" s="19"/>
      <c r="I66" s="11"/>
      <c r="J66" s="11"/>
      <c r="K66" s="12"/>
      <c r="L66" s="11"/>
    </row>
    <row r="67" customFormat="false" ht="14.25" hidden="false" customHeight="true" outlineLevel="0" collapsed="false">
      <c r="A67" s="11"/>
      <c r="B67" s="11"/>
      <c r="C67" s="11"/>
      <c r="D67" s="11"/>
      <c r="E67" s="11"/>
      <c r="F67" s="11"/>
      <c r="G67" s="12"/>
      <c r="H67" s="19"/>
      <c r="I67" s="11"/>
      <c r="J67" s="11"/>
      <c r="K67" s="12"/>
      <c r="L67" s="11"/>
    </row>
    <row r="68" customFormat="false" ht="14.25" hidden="false" customHeight="true" outlineLevel="0" collapsed="false">
      <c r="A68" s="11"/>
      <c r="B68" s="11"/>
      <c r="C68" s="11"/>
      <c r="D68" s="11"/>
      <c r="E68" s="11"/>
      <c r="F68" s="11"/>
      <c r="G68" s="12"/>
      <c r="H68" s="19"/>
      <c r="I68" s="11"/>
      <c r="J68" s="11"/>
      <c r="K68" s="12"/>
      <c r="L68" s="11"/>
    </row>
    <row r="69" customFormat="false" ht="14.25" hidden="false" customHeight="true" outlineLevel="0" collapsed="false">
      <c r="A69" s="11"/>
      <c r="B69" s="11"/>
      <c r="C69" s="11"/>
      <c r="D69" s="11"/>
      <c r="E69" s="11"/>
      <c r="F69" s="11"/>
      <c r="G69" s="12"/>
      <c r="H69" s="19"/>
      <c r="I69" s="11"/>
      <c r="J69" s="11"/>
      <c r="K69" s="12"/>
      <c r="L69" s="11"/>
    </row>
    <row r="70" customFormat="false" ht="14.25" hidden="false" customHeight="true" outlineLevel="0" collapsed="false">
      <c r="A70" s="11"/>
      <c r="B70" s="11"/>
      <c r="C70" s="11"/>
      <c r="D70" s="11"/>
      <c r="E70" s="11"/>
      <c r="F70" s="11"/>
      <c r="G70" s="12"/>
      <c r="H70" s="19"/>
      <c r="I70" s="11"/>
      <c r="J70" s="11"/>
      <c r="K70" s="12"/>
      <c r="L70" s="11"/>
    </row>
    <row r="71" customFormat="false" ht="14.25" hidden="false" customHeight="true" outlineLevel="0" collapsed="false">
      <c r="A71" s="11"/>
      <c r="B71" s="11"/>
      <c r="C71" s="11"/>
      <c r="D71" s="11"/>
      <c r="E71" s="11"/>
      <c r="F71" s="11"/>
      <c r="G71" s="12"/>
      <c r="H71" s="19"/>
      <c r="I71" s="11"/>
      <c r="J71" s="11"/>
      <c r="K71" s="12"/>
      <c r="L71" s="11"/>
    </row>
    <row r="72" customFormat="false" ht="14.25" hidden="false" customHeight="true" outlineLevel="0" collapsed="false">
      <c r="A72" s="11"/>
      <c r="B72" s="11"/>
      <c r="C72" s="11"/>
      <c r="D72" s="11"/>
      <c r="E72" s="11"/>
      <c r="F72" s="11"/>
      <c r="G72" s="12"/>
      <c r="H72" s="19"/>
      <c r="I72" s="11"/>
      <c r="J72" s="11"/>
      <c r="K72" s="12"/>
      <c r="L72" s="11"/>
    </row>
    <row r="73" customFormat="false" ht="14.25" hidden="false" customHeight="true" outlineLevel="0" collapsed="false">
      <c r="A73" s="11"/>
      <c r="B73" s="11"/>
      <c r="C73" s="11"/>
      <c r="D73" s="11"/>
      <c r="E73" s="11"/>
      <c r="F73" s="11"/>
      <c r="G73" s="12"/>
      <c r="H73" s="19"/>
      <c r="I73" s="11"/>
      <c r="J73" s="11"/>
      <c r="K73" s="12"/>
      <c r="L73" s="11"/>
    </row>
    <row r="74" customFormat="false" ht="14.25" hidden="false" customHeight="true" outlineLevel="0" collapsed="false">
      <c r="A74" s="11"/>
      <c r="B74" s="11"/>
      <c r="C74" s="11"/>
      <c r="D74" s="11"/>
      <c r="E74" s="11"/>
      <c r="F74" s="11"/>
      <c r="G74" s="12"/>
      <c r="H74" s="19"/>
      <c r="I74" s="11"/>
      <c r="J74" s="11"/>
      <c r="K74" s="12"/>
      <c r="L74" s="11"/>
    </row>
    <row r="75" customFormat="false" ht="14.25" hidden="false" customHeight="true" outlineLevel="0" collapsed="false">
      <c r="A75" s="11"/>
      <c r="B75" s="11"/>
      <c r="C75" s="11"/>
      <c r="D75" s="11"/>
      <c r="E75" s="11"/>
      <c r="F75" s="11"/>
      <c r="G75" s="12"/>
      <c r="H75" s="19"/>
      <c r="I75" s="11"/>
      <c r="J75" s="11"/>
      <c r="K75" s="12"/>
      <c r="L75" s="11"/>
    </row>
    <row r="76" customFormat="false" ht="14.25" hidden="false" customHeight="true" outlineLevel="0" collapsed="false">
      <c r="A76" s="11"/>
      <c r="B76" s="11"/>
      <c r="C76" s="11"/>
      <c r="D76" s="11"/>
      <c r="E76" s="11"/>
      <c r="F76" s="11"/>
      <c r="G76" s="12"/>
      <c r="H76" s="19"/>
      <c r="I76" s="11"/>
      <c r="J76" s="11"/>
      <c r="K76" s="12"/>
      <c r="L76" s="11"/>
    </row>
    <row r="77" customFormat="false" ht="14.25" hidden="false" customHeight="true" outlineLevel="0" collapsed="false">
      <c r="A77" s="11"/>
      <c r="B77" s="11"/>
      <c r="C77" s="11"/>
      <c r="D77" s="11"/>
      <c r="E77" s="11"/>
      <c r="F77" s="11"/>
      <c r="G77" s="12"/>
      <c r="H77" s="19"/>
      <c r="I77" s="11"/>
      <c r="J77" s="11"/>
      <c r="K77" s="12"/>
      <c r="L77" s="11"/>
    </row>
    <row r="78" customFormat="false" ht="14.25" hidden="false" customHeight="true" outlineLevel="0" collapsed="false">
      <c r="A78" s="11"/>
      <c r="B78" s="11"/>
      <c r="C78" s="11"/>
      <c r="D78" s="11"/>
      <c r="E78" s="11"/>
      <c r="F78" s="11"/>
      <c r="G78" s="12"/>
      <c r="H78" s="19"/>
      <c r="I78" s="11"/>
      <c r="J78" s="11"/>
      <c r="K78" s="12"/>
      <c r="L78" s="11"/>
    </row>
    <row r="79" customFormat="false" ht="14.25" hidden="false" customHeight="true" outlineLevel="0" collapsed="false">
      <c r="A79" s="11"/>
      <c r="B79" s="11"/>
      <c r="C79" s="11"/>
      <c r="D79" s="11"/>
      <c r="E79" s="11"/>
      <c r="F79" s="11"/>
      <c r="G79" s="12"/>
      <c r="H79" s="19"/>
      <c r="I79" s="11"/>
      <c r="J79" s="11"/>
      <c r="K79" s="12"/>
      <c r="L79" s="11"/>
    </row>
    <row r="80" customFormat="false" ht="14.25" hidden="false" customHeight="true" outlineLevel="0" collapsed="false">
      <c r="A80" s="11"/>
      <c r="B80" s="11"/>
      <c r="C80" s="11"/>
      <c r="D80" s="11"/>
      <c r="E80" s="11"/>
      <c r="F80" s="11"/>
      <c r="G80" s="12"/>
      <c r="H80" s="19"/>
      <c r="I80" s="11"/>
      <c r="J80" s="11"/>
      <c r="K80" s="12"/>
      <c r="L80" s="11"/>
    </row>
    <row r="81" customFormat="false" ht="14.25" hidden="false" customHeight="true" outlineLevel="0" collapsed="false">
      <c r="A81" s="11"/>
      <c r="B81" s="11"/>
      <c r="C81" s="11"/>
      <c r="D81" s="11"/>
      <c r="E81" s="11"/>
      <c r="F81" s="11"/>
      <c r="G81" s="12"/>
      <c r="H81" s="19"/>
      <c r="I81" s="11"/>
      <c r="J81" s="11"/>
      <c r="K81" s="12"/>
      <c r="L81" s="11"/>
    </row>
    <row r="82" customFormat="false" ht="14.25" hidden="false" customHeight="true" outlineLevel="0" collapsed="false">
      <c r="A82" s="11"/>
      <c r="B82" s="11"/>
      <c r="C82" s="11"/>
      <c r="D82" s="11"/>
      <c r="E82" s="11"/>
      <c r="F82" s="11"/>
      <c r="G82" s="12"/>
      <c r="H82" s="19"/>
      <c r="I82" s="11"/>
      <c r="J82" s="11"/>
      <c r="K82" s="12"/>
      <c r="L82" s="11"/>
    </row>
    <row r="83" customFormat="false" ht="14.25" hidden="false" customHeight="true" outlineLevel="0" collapsed="false">
      <c r="A83" s="11"/>
      <c r="B83" s="11"/>
      <c r="C83" s="11"/>
      <c r="D83" s="11"/>
      <c r="E83" s="11"/>
      <c r="F83" s="11"/>
      <c r="G83" s="12"/>
      <c r="H83" s="19"/>
      <c r="I83" s="11"/>
      <c r="J83" s="11"/>
      <c r="K83" s="12"/>
      <c r="L83" s="11"/>
    </row>
    <row r="84" customFormat="false" ht="14.25" hidden="false" customHeight="true" outlineLevel="0" collapsed="false">
      <c r="A84" s="11"/>
      <c r="B84" s="11"/>
      <c r="C84" s="11"/>
      <c r="D84" s="11"/>
      <c r="E84" s="11"/>
      <c r="F84" s="11"/>
      <c r="G84" s="12"/>
      <c r="H84" s="19"/>
      <c r="I84" s="11"/>
      <c r="J84" s="11"/>
      <c r="K84" s="12"/>
      <c r="L84" s="11"/>
    </row>
    <row r="85" customFormat="false" ht="14.25" hidden="false" customHeight="true" outlineLevel="0" collapsed="false">
      <c r="A85" s="11"/>
      <c r="B85" s="11"/>
      <c r="C85" s="11"/>
      <c r="D85" s="11"/>
      <c r="E85" s="11"/>
      <c r="F85" s="11"/>
      <c r="G85" s="12"/>
      <c r="H85" s="19"/>
      <c r="I85" s="11"/>
      <c r="J85" s="11"/>
      <c r="K85" s="12"/>
      <c r="L85" s="11"/>
    </row>
    <row r="86" customFormat="false" ht="14.25" hidden="false" customHeight="true" outlineLevel="0" collapsed="false">
      <c r="A86" s="11"/>
      <c r="B86" s="11"/>
      <c r="C86" s="11"/>
      <c r="D86" s="11"/>
      <c r="E86" s="11"/>
      <c r="F86" s="11"/>
      <c r="G86" s="12"/>
      <c r="H86" s="19"/>
      <c r="I86" s="11"/>
      <c r="J86" s="11"/>
      <c r="K86" s="12"/>
      <c r="L86" s="11"/>
    </row>
    <row r="87" customFormat="false" ht="14.25" hidden="false" customHeight="true" outlineLevel="0" collapsed="false">
      <c r="A87" s="11"/>
      <c r="B87" s="11"/>
      <c r="C87" s="11"/>
      <c r="D87" s="11"/>
      <c r="E87" s="11"/>
      <c r="F87" s="11"/>
      <c r="G87" s="12"/>
      <c r="H87" s="19"/>
      <c r="I87" s="11"/>
      <c r="J87" s="11"/>
      <c r="K87" s="12"/>
      <c r="L87" s="11"/>
    </row>
    <row r="88" customFormat="false" ht="14.25" hidden="false" customHeight="true" outlineLevel="0" collapsed="false">
      <c r="A88" s="11"/>
      <c r="B88" s="11"/>
      <c r="C88" s="11"/>
      <c r="D88" s="11"/>
      <c r="E88" s="11"/>
      <c r="F88" s="11"/>
      <c r="G88" s="12"/>
      <c r="H88" s="19"/>
      <c r="I88" s="11"/>
      <c r="J88" s="11"/>
      <c r="K88" s="12"/>
      <c r="L88" s="11"/>
    </row>
    <row r="89" customFormat="false" ht="14.25" hidden="false" customHeight="true" outlineLevel="0" collapsed="false">
      <c r="A89" s="11"/>
      <c r="B89" s="11"/>
      <c r="C89" s="11"/>
      <c r="D89" s="11"/>
      <c r="E89" s="11"/>
      <c r="F89" s="11"/>
      <c r="G89" s="12"/>
      <c r="H89" s="19"/>
      <c r="I89" s="11"/>
      <c r="J89" s="11"/>
      <c r="K89" s="12"/>
      <c r="L89" s="11"/>
    </row>
    <row r="90" customFormat="false" ht="14.25" hidden="false" customHeight="true" outlineLevel="0" collapsed="false">
      <c r="A90" s="11"/>
      <c r="B90" s="11"/>
      <c r="C90" s="11"/>
      <c r="D90" s="11"/>
      <c r="E90" s="11"/>
      <c r="F90" s="11"/>
      <c r="G90" s="12"/>
      <c r="H90" s="19"/>
      <c r="I90" s="11"/>
      <c r="J90" s="11"/>
      <c r="K90" s="12"/>
      <c r="L90" s="11"/>
    </row>
    <row r="91" customFormat="false" ht="14.25" hidden="false" customHeight="true" outlineLevel="0" collapsed="false">
      <c r="A91" s="11"/>
      <c r="B91" s="11"/>
      <c r="C91" s="11"/>
      <c r="D91" s="11"/>
      <c r="E91" s="11"/>
      <c r="F91" s="11"/>
      <c r="G91" s="12"/>
      <c r="H91" s="19"/>
      <c r="I91" s="11"/>
      <c r="J91" s="11"/>
      <c r="K91" s="12"/>
      <c r="L91" s="11"/>
    </row>
    <row r="92" customFormat="false" ht="14.25" hidden="false" customHeight="true" outlineLevel="0" collapsed="false">
      <c r="A92" s="11"/>
      <c r="B92" s="11"/>
      <c r="C92" s="11"/>
      <c r="D92" s="11"/>
      <c r="E92" s="11"/>
      <c r="F92" s="11"/>
      <c r="G92" s="12"/>
      <c r="H92" s="19"/>
      <c r="I92" s="11"/>
      <c r="J92" s="11"/>
      <c r="K92" s="12"/>
      <c r="L92" s="11"/>
    </row>
    <row r="93" customFormat="false" ht="14.25" hidden="false" customHeight="true" outlineLevel="0" collapsed="false">
      <c r="A93" s="11"/>
      <c r="B93" s="11"/>
      <c r="C93" s="11"/>
      <c r="D93" s="11"/>
      <c r="E93" s="11"/>
      <c r="F93" s="11"/>
      <c r="G93" s="12"/>
      <c r="H93" s="19"/>
      <c r="I93" s="11"/>
      <c r="J93" s="11"/>
      <c r="K93" s="12"/>
      <c r="L93" s="11"/>
    </row>
    <row r="94" customFormat="false" ht="14.25" hidden="false" customHeight="true" outlineLevel="0" collapsed="false">
      <c r="A94" s="11"/>
      <c r="B94" s="11"/>
      <c r="C94" s="11"/>
      <c r="D94" s="11"/>
      <c r="E94" s="11"/>
      <c r="F94" s="11"/>
      <c r="G94" s="12"/>
      <c r="H94" s="19"/>
      <c r="I94" s="11"/>
      <c r="J94" s="11"/>
      <c r="K94" s="12"/>
      <c r="L94" s="11"/>
    </row>
    <row r="95" customFormat="false" ht="14.25" hidden="false" customHeight="true" outlineLevel="0" collapsed="false">
      <c r="A95" s="11"/>
      <c r="B95" s="11"/>
      <c r="C95" s="11"/>
      <c r="D95" s="11"/>
      <c r="E95" s="11"/>
      <c r="F95" s="11"/>
      <c r="G95" s="12"/>
      <c r="H95" s="19"/>
      <c r="I95" s="11"/>
      <c r="J95" s="11"/>
      <c r="K95" s="12"/>
      <c r="L95" s="11"/>
    </row>
    <row r="96" customFormat="false" ht="14.25" hidden="false" customHeight="true" outlineLevel="0" collapsed="false">
      <c r="A96" s="11"/>
      <c r="B96" s="11"/>
      <c r="C96" s="11"/>
      <c r="D96" s="11"/>
      <c r="E96" s="11"/>
      <c r="F96" s="11"/>
      <c r="G96" s="12"/>
      <c r="H96" s="19"/>
      <c r="I96" s="11"/>
      <c r="J96" s="11"/>
      <c r="K96" s="12"/>
      <c r="L96" s="11"/>
    </row>
    <row r="97" customFormat="false" ht="14.25" hidden="false" customHeight="true" outlineLevel="0" collapsed="false">
      <c r="A97" s="11"/>
      <c r="B97" s="11"/>
      <c r="C97" s="11"/>
      <c r="D97" s="11"/>
      <c r="E97" s="11"/>
      <c r="F97" s="11"/>
      <c r="G97" s="12"/>
      <c r="H97" s="19"/>
      <c r="I97" s="11"/>
      <c r="J97" s="11"/>
      <c r="K97" s="12"/>
      <c r="L97" s="11"/>
    </row>
    <row r="98" customFormat="false" ht="14.25" hidden="false" customHeight="true" outlineLevel="0" collapsed="false">
      <c r="A98" s="11"/>
      <c r="B98" s="11"/>
      <c r="C98" s="11"/>
      <c r="D98" s="11"/>
      <c r="E98" s="11"/>
      <c r="F98" s="11"/>
      <c r="G98" s="12"/>
      <c r="H98" s="19"/>
      <c r="I98" s="11"/>
      <c r="J98" s="11"/>
      <c r="K98" s="12"/>
      <c r="L98" s="11"/>
    </row>
    <row r="99" customFormat="false" ht="14.25" hidden="false" customHeight="true" outlineLevel="0" collapsed="false">
      <c r="A99" s="11"/>
      <c r="B99" s="11"/>
      <c r="C99" s="11"/>
      <c r="D99" s="11"/>
      <c r="E99" s="11"/>
      <c r="F99" s="11"/>
      <c r="G99" s="12"/>
      <c r="H99" s="19"/>
      <c r="I99" s="11"/>
      <c r="J99" s="11"/>
      <c r="K99" s="12"/>
      <c r="L99" s="11"/>
    </row>
    <row r="100" customFormat="false" ht="14.25" hidden="false" customHeight="true" outlineLevel="0" collapsed="false">
      <c r="A100" s="11"/>
      <c r="B100" s="11"/>
      <c r="C100" s="11"/>
      <c r="D100" s="11"/>
      <c r="E100" s="11"/>
      <c r="F100" s="11"/>
      <c r="G100" s="12"/>
      <c r="H100" s="19"/>
      <c r="I100" s="11"/>
      <c r="J100" s="11"/>
      <c r="K100" s="12"/>
      <c r="L100" s="11"/>
    </row>
    <row r="101" customFormat="false" ht="14.25" hidden="false" customHeight="true" outlineLevel="0" collapsed="false">
      <c r="A101" s="11"/>
      <c r="B101" s="11"/>
      <c r="C101" s="11"/>
      <c r="D101" s="11"/>
      <c r="E101" s="11"/>
      <c r="F101" s="11"/>
      <c r="G101" s="12"/>
      <c r="H101" s="19"/>
      <c r="I101" s="11"/>
      <c r="J101" s="11"/>
      <c r="K101" s="12"/>
      <c r="L101" s="11"/>
    </row>
    <row r="102" customFormat="false" ht="14.25" hidden="false" customHeight="true" outlineLevel="0" collapsed="false">
      <c r="A102" s="11"/>
      <c r="B102" s="11"/>
      <c r="C102" s="11"/>
      <c r="D102" s="11"/>
      <c r="E102" s="11"/>
      <c r="F102" s="11"/>
      <c r="G102" s="12"/>
      <c r="H102" s="19"/>
      <c r="I102" s="11"/>
      <c r="J102" s="11"/>
      <c r="K102" s="12"/>
      <c r="L102" s="11"/>
    </row>
    <row r="103" customFormat="false" ht="14.25" hidden="false" customHeight="true" outlineLevel="0" collapsed="false">
      <c r="A103" s="11"/>
      <c r="B103" s="11"/>
      <c r="C103" s="11"/>
      <c r="D103" s="11"/>
      <c r="E103" s="11"/>
      <c r="F103" s="11"/>
      <c r="G103" s="12"/>
      <c r="H103" s="19"/>
      <c r="I103" s="11"/>
      <c r="J103" s="11"/>
      <c r="K103" s="12"/>
      <c r="L103" s="11"/>
    </row>
    <row r="104" customFormat="false" ht="14.25" hidden="false" customHeight="true" outlineLevel="0" collapsed="false">
      <c r="A104" s="11"/>
      <c r="B104" s="11"/>
      <c r="C104" s="11"/>
      <c r="D104" s="11"/>
      <c r="E104" s="11"/>
      <c r="F104" s="11"/>
      <c r="G104" s="12"/>
      <c r="H104" s="19"/>
      <c r="I104" s="11"/>
      <c r="J104" s="11"/>
      <c r="K104" s="12"/>
      <c r="L104" s="11"/>
    </row>
    <row r="105" customFormat="false" ht="14.25" hidden="false" customHeight="true" outlineLevel="0" collapsed="false">
      <c r="A105" s="11"/>
      <c r="B105" s="11"/>
      <c r="C105" s="11"/>
      <c r="D105" s="11"/>
      <c r="E105" s="11"/>
      <c r="F105" s="11"/>
      <c r="G105" s="12"/>
      <c r="H105" s="19"/>
      <c r="I105" s="11"/>
      <c r="J105" s="11"/>
      <c r="K105" s="12"/>
      <c r="L105" s="11"/>
    </row>
    <row r="106" customFormat="false" ht="14.25" hidden="false" customHeight="true" outlineLevel="0" collapsed="false">
      <c r="A106" s="11"/>
      <c r="B106" s="11"/>
      <c r="C106" s="11"/>
      <c r="D106" s="11"/>
      <c r="E106" s="11"/>
      <c r="F106" s="11"/>
      <c r="G106" s="12"/>
      <c r="H106" s="19"/>
      <c r="I106" s="11"/>
      <c r="J106" s="11"/>
      <c r="K106" s="12"/>
      <c r="L106" s="11"/>
    </row>
    <row r="107" customFormat="false" ht="14.25" hidden="false" customHeight="true" outlineLevel="0" collapsed="false">
      <c r="A107" s="11"/>
      <c r="B107" s="11"/>
      <c r="C107" s="11"/>
      <c r="D107" s="11"/>
      <c r="E107" s="11"/>
      <c r="F107" s="11"/>
      <c r="G107" s="12"/>
      <c r="H107" s="19"/>
      <c r="I107" s="11"/>
      <c r="J107" s="11"/>
      <c r="K107" s="12"/>
      <c r="L107" s="11"/>
    </row>
    <row r="108" customFormat="false" ht="14.25" hidden="false" customHeight="true" outlineLevel="0" collapsed="false">
      <c r="A108" s="11"/>
      <c r="B108" s="11"/>
      <c r="C108" s="11"/>
      <c r="D108" s="11"/>
      <c r="E108" s="11"/>
      <c r="F108" s="11"/>
      <c r="G108" s="12"/>
      <c r="H108" s="19"/>
      <c r="I108" s="11"/>
      <c r="J108" s="11"/>
      <c r="K108" s="12"/>
      <c r="L108" s="11"/>
    </row>
    <row r="109" customFormat="false" ht="14.25" hidden="false" customHeight="true" outlineLevel="0" collapsed="false">
      <c r="A109" s="11"/>
      <c r="B109" s="11"/>
      <c r="C109" s="11"/>
      <c r="D109" s="11"/>
      <c r="E109" s="11"/>
      <c r="F109" s="11"/>
      <c r="G109" s="12"/>
      <c r="H109" s="19"/>
      <c r="I109" s="11"/>
      <c r="J109" s="11"/>
      <c r="K109" s="12"/>
      <c r="L109" s="11"/>
    </row>
    <row r="110" customFormat="false" ht="14.25" hidden="false" customHeight="true" outlineLevel="0" collapsed="false">
      <c r="A110" s="11"/>
      <c r="B110" s="11"/>
      <c r="C110" s="11"/>
      <c r="D110" s="11"/>
      <c r="E110" s="11"/>
      <c r="F110" s="11"/>
      <c r="G110" s="12"/>
      <c r="H110" s="19"/>
      <c r="I110" s="11"/>
      <c r="J110" s="11"/>
      <c r="K110" s="12"/>
      <c r="L110" s="11"/>
    </row>
    <row r="111" customFormat="false" ht="14.25" hidden="false" customHeight="true" outlineLevel="0" collapsed="false">
      <c r="A111" s="11"/>
      <c r="B111" s="11"/>
      <c r="C111" s="11"/>
      <c r="D111" s="11"/>
      <c r="E111" s="11"/>
      <c r="F111" s="11"/>
      <c r="G111" s="12"/>
      <c r="H111" s="19"/>
      <c r="I111" s="11"/>
      <c r="J111" s="11"/>
      <c r="K111" s="12"/>
      <c r="L111" s="11"/>
    </row>
    <row r="112" customFormat="false" ht="14.25" hidden="false" customHeight="true" outlineLevel="0" collapsed="false">
      <c r="A112" s="11"/>
      <c r="B112" s="11"/>
      <c r="C112" s="11"/>
      <c r="D112" s="11"/>
      <c r="E112" s="11"/>
      <c r="F112" s="11"/>
      <c r="G112" s="12"/>
      <c r="H112" s="19"/>
      <c r="I112" s="11"/>
      <c r="J112" s="11"/>
      <c r="K112" s="12"/>
      <c r="L112" s="11"/>
    </row>
    <row r="113" customFormat="false" ht="14.25" hidden="false" customHeight="true" outlineLevel="0" collapsed="false">
      <c r="A113" s="11"/>
      <c r="B113" s="11"/>
      <c r="C113" s="11"/>
      <c r="D113" s="11"/>
      <c r="E113" s="11"/>
      <c r="F113" s="11"/>
      <c r="G113" s="12"/>
      <c r="H113" s="19"/>
      <c r="I113" s="11"/>
      <c r="J113" s="11"/>
      <c r="K113" s="12"/>
      <c r="L113" s="11"/>
    </row>
    <row r="114" customFormat="false" ht="14.25" hidden="false" customHeight="true" outlineLevel="0" collapsed="false">
      <c r="A114" s="11"/>
      <c r="B114" s="11"/>
      <c r="C114" s="11"/>
      <c r="D114" s="11"/>
      <c r="E114" s="11"/>
      <c r="F114" s="11"/>
      <c r="G114" s="12"/>
      <c r="H114" s="19"/>
      <c r="I114" s="11"/>
      <c r="J114" s="11"/>
      <c r="K114" s="12"/>
      <c r="L114" s="11"/>
    </row>
    <row r="115" customFormat="false" ht="14.25" hidden="false" customHeight="true" outlineLevel="0" collapsed="false">
      <c r="A115" s="11"/>
      <c r="B115" s="11"/>
      <c r="C115" s="11"/>
      <c r="D115" s="11"/>
      <c r="E115" s="11"/>
      <c r="F115" s="11"/>
      <c r="G115" s="12"/>
      <c r="H115" s="19"/>
      <c r="I115" s="11"/>
      <c r="J115" s="11"/>
      <c r="K115" s="12"/>
      <c r="L115" s="11"/>
    </row>
    <row r="116" customFormat="false" ht="14.25" hidden="false" customHeight="true" outlineLevel="0" collapsed="false">
      <c r="A116" s="11"/>
      <c r="B116" s="11"/>
      <c r="C116" s="11"/>
      <c r="D116" s="11"/>
      <c r="E116" s="11"/>
      <c r="F116" s="11"/>
      <c r="G116" s="12"/>
      <c r="H116" s="19"/>
      <c r="I116" s="11"/>
      <c r="J116" s="11"/>
      <c r="K116" s="12"/>
      <c r="L116" s="11"/>
    </row>
    <row r="117" customFormat="false" ht="14.25" hidden="false" customHeight="true" outlineLevel="0" collapsed="false">
      <c r="A117" s="11"/>
      <c r="B117" s="11"/>
      <c r="C117" s="11"/>
      <c r="D117" s="11"/>
      <c r="E117" s="11"/>
      <c r="F117" s="11"/>
      <c r="G117" s="12"/>
      <c r="H117" s="19"/>
      <c r="I117" s="11"/>
      <c r="J117" s="11"/>
      <c r="K117" s="12"/>
      <c r="L117" s="11"/>
    </row>
    <row r="118" customFormat="false" ht="14.25" hidden="false" customHeight="true" outlineLevel="0" collapsed="false">
      <c r="A118" s="11"/>
      <c r="B118" s="11"/>
      <c r="C118" s="11"/>
      <c r="D118" s="11"/>
      <c r="E118" s="11"/>
      <c r="F118" s="11"/>
      <c r="G118" s="12"/>
      <c r="H118" s="19"/>
      <c r="I118" s="11"/>
      <c r="J118" s="11"/>
      <c r="K118" s="12"/>
      <c r="L118" s="11"/>
    </row>
    <row r="119" customFormat="false" ht="14.25" hidden="false" customHeight="true" outlineLevel="0" collapsed="false">
      <c r="A119" s="11"/>
      <c r="B119" s="11"/>
      <c r="C119" s="11"/>
      <c r="D119" s="11"/>
      <c r="E119" s="11"/>
      <c r="F119" s="11"/>
      <c r="G119" s="12"/>
      <c r="H119" s="19"/>
      <c r="I119" s="11"/>
      <c r="J119" s="11"/>
      <c r="K119" s="12"/>
      <c r="L119" s="11"/>
    </row>
    <row r="120" customFormat="false" ht="14.25" hidden="false" customHeight="true" outlineLevel="0" collapsed="false">
      <c r="A120" s="11"/>
      <c r="B120" s="11"/>
      <c r="C120" s="11"/>
      <c r="D120" s="11"/>
      <c r="E120" s="11"/>
      <c r="F120" s="11"/>
      <c r="G120" s="12"/>
      <c r="H120" s="19"/>
      <c r="I120" s="11"/>
      <c r="J120" s="11"/>
      <c r="K120" s="12"/>
      <c r="L120" s="11"/>
    </row>
    <row r="121" customFormat="false" ht="14.25" hidden="false" customHeight="true" outlineLevel="0" collapsed="false">
      <c r="A121" s="11"/>
      <c r="B121" s="11"/>
      <c r="C121" s="11"/>
      <c r="D121" s="11"/>
      <c r="E121" s="11"/>
      <c r="F121" s="11"/>
      <c r="G121" s="12"/>
      <c r="H121" s="19"/>
      <c r="I121" s="11"/>
      <c r="J121" s="11"/>
      <c r="K121" s="12"/>
      <c r="L121" s="11"/>
    </row>
    <row r="122" customFormat="false" ht="14.25" hidden="false" customHeight="true" outlineLevel="0" collapsed="false">
      <c r="A122" s="11"/>
      <c r="B122" s="11"/>
      <c r="C122" s="11"/>
      <c r="D122" s="11"/>
      <c r="E122" s="11"/>
      <c r="F122" s="11"/>
      <c r="G122" s="12"/>
      <c r="H122" s="19"/>
      <c r="I122" s="11"/>
      <c r="J122" s="11"/>
      <c r="K122" s="12"/>
      <c r="L122" s="11"/>
    </row>
    <row r="123" customFormat="false" ht="14.25" hidden="false" customHeight="true" outlineLevel="0" collapsed="false">
      <c r="A123" s="11"/>
      <c r="B123" s="11"/>
      <c r="C123" s="11"/>
      <c r="D123" s="11"/>
      <c r="E123" s="11"/>
      <c r="F123" s="11"/>
      <c r="G123" s="12"/>
      <c r="H123" s="19"/>
      <c r="I123" s="11"/>
      <c r="J123" s="11"/>
      <c r="K123" s="12"/>
      <c r="L123" s="11"/>
    </row>
    <row r="124" customFormat="false" ht="14.25" hidden="false" customHeight="true" outlineLevel="0" collapsed="false">
      <c r="A124" s="11"/>
      <c r="B124" s="11"/>
      <c r="C124" s="11"/>
      <c r="D124" s="11"/>
      <c r="E124" s="11"/>
      <c r="F124" s="11"/>
      <c r="G124" s="12"/>
      <c r="H124" s="19"/>
      <c r="I124" s="11"/>
      <c r="J124" s="11"/>
      <c r="K124" s="12"/>
      <c r="L124" s="11"/>
    </row>
    <row r="125" customFormat="false" ht="14.25" hidden="false" customHeight="true" outlineLevel="0" collapsed="false">
      <c r="A125" s="11"/>
      <c r="B125" s="11"/>
      <c r="C125" s="11"/>
      <c r="D125" s="11"/>
      <c r="E125" s="11"/>
      <c r="F125" s="11"/>
      <c r="G125" s="12"/>
      <c r="H125" s="19"/>
      <c r="I125" s="11"/>
      <c r="J125" s="11"/>
      <c r="K125" s="12"/>
      <c r="L125" s="11"/>
    </row>
    <row r="126" customFormat="false" ht="14.25" hidden="false" customHeight="true" outlineLevel="0" collapsed="false">
      <c r="A126" s="11"/>
      <c r="B126" s="11"/>
      <c r="C126" s="11"/>
      <c r="D126" s="11"/>
      <c r="E126" s="11"/>
      <c r="F126" s="11"/>
      <c r="G126" s="12"/>
      <c r="H126" s="19"/>
      <c r="I126" s="11"/>
      <c r="J126" s="11"/>
      <c r="K126" s="12"/>
      <c r="L126" s="11"/>
    </row>
    <row r="127" customFormat="false" ht="14.25" hidden="false" customHeight="true" outlineLevel="0" collapsed="false">
      <c r="A127" s="11"/>
      <c r="B127" s="11"/>
      <c r="C127" s="11"/>
      <c r="D127" s="11"/>
      <c r="E127" s="11"/>
      <c r="F127" s="11"/>
      <c r="G127" s="12"/>
      <c r="H127" s="19"/>
      <c r="I127" s="11"/>
      <c r="J127" s="11"/>
      <c r="K127" s="12"/>
      <c r="L127" s="11"/>
    </row>
    <row r="128" customFormat="false" ht="14.25" hidden="false" customHeight="true" outlineLevel="0" collapsed="false">
      <c r="A128" s="11"/>
      <c r="B128" s="11"/>
      <c r="C128" s="11"/>
      <c r="D128" s="11"/>
      <c r="E128" s="11"/>
      <c r="F128" s="11"/>
      <c r="G128" s="12"/>
      <c r="H128" s="19"/>
      <c r="I128" s="11"/>
      <c r="J128" s="11"/>
      <c r="K128" s="12"/>
      <c r="L128" s="11"/>
    </row>
    <row r="129" customFormat="false" ht="14.25" hidden="false" customHeight="true" outlineLevel="0" collapsed="false">
      <c r="A129" s="11"/>
      <c r="B129" s="11"/>
      <c r="C129" s="11"/>
      <c r="D129" s="11"/>
      <c r="E129" s="11"/>
      <c r="F129" s="11"/>
      <c r="G129" s="12"/>
      <c r="H129" s="19"/>
      <c r="I129" s="11"/>
      <c r="J129" s="11"/>
      <c r="K129" s="12"/>
      <c r="L129" s="11"/>
    </row>
    <row r="130" customFormat="false" ht="14.25" hidden="false" customHeight="true" outlineLevel="0" collapsed="false">
      <c r="A130" s="11"/>
      <c r="B130" s="11"/>
      <c r="C130" s="11"/>
      <c r="D130" s="11"/>
      <c r="E130" s="11"/>
      <c r="F130" s="11"/>
      <c r="G130" s="12"/>
      <c r="H130" s="19"/>
      <c r="I130" s="11"/>
      <c r="J130" s="11"/>
      <c r="K130" s="12"/>
      <c r="L130" s="11"/>
    </row>
    <row r="131" customFormat="false" ht="14.25" hidden="false" customHeight="true" outlineLevel="0" collapsed="false">
      <c r="A131" s="11"/>
      <c r="B131" s="11"/>
      <c r="C131" s="11"/>
      <c r="D131" s="11"/>
      <c r="E131" s="11"/>
      <c r="F131" s="11"/>
      <c r="G131" s="12"/>
      <c r="H131" s="19"/>
      <c r="I131" s="11"/>
      <c r="J131" s="11"/>
      <c r="K131" s="12"/>
      <c r="L131" s="11"/>
    </row>
    <row r="132" customFormat="false" ht="14.25" hidden="false" customHeight="true" outlineLevel="0" collapsed="false">
      <c r="A132" s="11"/>
      <c r="B132" s="11"/>
      <c r="C132" s="11"/>
      <c r="D132" s="11"/>
      <c r="E132" s="11"/>
      <c r="F132" s="11"/>
      <c r="G132" s="12"/>
      <c r="H132" s="19"/>
      <c r="I132" s="11"/>
      <c r="J132" s="11"/>
      <c r="K132" s="12"/>
      <c r="L132" s="11"/>
    </row>
    <row r="133" customFormat="false" ht="14.25" hidden="false" customHeight="true" outlineLevel="0" collapsed="false">
      <c r="A133" s="11"/>
      <c r="B133" s="11"/>
      <c r="C133" s="11"/>
      <c r="D133" s="11"/>
      <c r="E133" s="11"/>
      <c r="F133" s="11"/>
      <c r="G133" s="12"/>
      <c r="H133" s="19"/>
      <c r="I133" s="11"/>
      <c r="J133" s="11"/>
      <c r="K133" s="12"/>
      <c r="L133" s="11"/>
    </row>
    <row r="134" customFormat="false" ht="14.25" hidden="false" customHeight="true" outlineLevel="0" collapsed="false">
      <c r="A134" s="11"/>
      <c r="B134" s="11"/>
      <c r="C134" s="11"/>
      <c r="D134" s="11"/>
      <c r="E134" s="11"/>
      <c r="F134" s="11"/>
      <c r="G134" s="12"/>
      <c r="H134" s="19"/>
      <c r="I134" s="11"/>
      <c r="J134" s="11"/>
      <c r="K134" s="12"/>
      <c r="L134" s="11"/>
    </row>
    <row r="135" customFormat="false" ht="14.25" hidden="false" customHeight="true" outlineLevel="0" collapsed="false">
      <c r="A135" s="11"/>
      <c r="B135" s="11"/>
      <c r="C135" s="11"/>
      <c r="D135" s="11"/>
      <c r="E135" s="11"/>
      <c r="F135" s="11"/>
      <c r="G135" s="12"/>
      <c r="H135" s="19"/>
      <c r="I135" s="11"/>
      <c r="J135" s="11"/>
      <c r="K135" s="12"/>
      <c r="L135" s="11"/>
    </row>
    <row r="136" customFormat="false" ht="14.25" hidden="false" customHeight="true" outlineLevel="0" collapsed="false">
      <c r="A136" s="11"/>
      <c r="B136" s="11"/>
      <c r="C136" s="11"/>
      <c r="D136" s="11"/>
      <c r="E136" s="11"/>
      <c r="F136" s="11"/>
      <c r="G136" s="12"/>
      <c r="H136" s="19"/>
      <c r="I136" s="11"/>
      <c r="J136" s="11"/>
      <c r="K136" s="12"/>
      <c r="L136" s="11"/>
    </row>
    <row r="137" customFormat="false" ht="14.25" hidden="false" customHeight="true" outlineLevel="0" collapsed="false">
      <c r="A137" s="11"/>
      <c r="B137" s="11"/>
      <c r="C137" s="11"/>
      <c r="D137" s="11"/>
      <c r="E137" s="11"/>
      <c r="F137" s="11"/>
      <c r="G137" s="12"/>
      <c r="H137" s="19"/>
      <c r="I137" s="11"/>
      <c r="J137" s="11"/>
      <c r="K137" s="12"/>
      <c r="L137" s="11"/>
    </row>
    <row r="138" customFormat="false" ht="14.25" hidden="false" customHeight="true" outlineLevel="0" collapsed="false">
      <c r="A138" s="11"/>
      <c r="B138" s="11"/>
      <c r="C138" s="11"/>
      <c r="D138" s="11"/>
      <c r="E138" s="11"/>
      <c r="F138" s="11"/>
      <c r="G138" s="12"/>
      <c r="H138" s="19"/>
      <c r="I138" s="11"/>
      <c r="J138" s="11"/>
      <c r="K138" s="12"/>
      <c r="L138" s="11"/>
    </row>
    <row r="139" customFormat="false" ht="14.25" hidden="false" customHeight="true" outlineLevel="0" collapsed="false">
      <c r="A139" s="11"/>
      <c r="B139" s="11"/>
      <c r="C139" s="11"/>
      <c r="D139" s="11"/>
      <c r="E139" s="11"/>
      <c r="F139" s="11"/>
      <c r="G139" s="12"/>
      <c r="H139" s="19"/>
      <c r="I139" s="11"/>
      <c r="J139" s="11"/>
      <c r="K139" s="12"/>
      <c r="L139" s="11"/>
    </row>
    <row r="140" customFormat="false" ht="14.25" hidden="false" customHeight="true" outlineLevel="0" collapsed="false">
      <c r="A140" s="11"/>
      <c r="B140" s="11"/>
      <c r="C140" s="11"/>
      <c r="D140" s="11"/>
      <c r="E140" s="11"/>
      <c r="F140" s="11"/>
      <c r="G140" s="12"/>
      <c r="H140" s="19"/>
      <c r="I140" s="11"/>
      <c r="J140" s="11"/>
      <c r="K140" s="12"/>
      <c r="L140" s="11"/>
    </row>
    <row r="141" customFormat="false" ht="14.25" hidden="false" customHeight="true" outlineLevel="0" collapsed="false">
      <c r="A141" s="11"/>
      <c r="B141" s="11"/>
      <c r="C141" s="11"/>
      <c r="D141" s="11"/>
      <c r="E141" s="11"/>
      <c r="F141" s="11"/>
      <c r="G141" s="12"/>
      <c r="H141" s="19"/>
      <c r="I141" s="11"/>
      <c r="J141" s="11"/>
      <c r="K141" s="12"/>
      <c r="L141" s="11"/>
    </row>
    <row r="142" customFormat="false" ht="14.25" hidden="false" customHeight="true" outlineLevel="0" collapsed="false">
      <c r="A142" s="11"/>
      <c r="B142" s="11"/>
      <c r="C142" s="11"/>
      <c r="D142" s="11"/>
      <c r="E142" s="11"/>
      <c r="F142" s="11"/>
      <c r="G142" s="12"/>
      <c r="H142" s="19"/>
      <c r="I142" s="11"/>
      <c r="J142" s="11"/>
      <c r="K142" s="12"/>
      <c r="L142" s="11"/>
    </row>
    <row r="143" customFormat="false" ht="14.25" hidden="false" customHeight="true" outlineLevel="0" collapsed="false">
      <c r="A143" s="11"/>
      <c r="B143" s="11"/>
      <c r="C143" s="11"/>
      <c r="D143" s="11"/>
      <c r="E143" s="11"/>
      <c r="F143" s="11"/>
      <c r="G143" s="12"/>
      <c r="H143" s="19"/>
      <c r="I143" s="11"/>
      <c r="J143" s="11"/>
      <c r="K143" s="12"/>
      <c r="L143" s="11"/>
    </row>
    <row r="144" customFormat="false" ht="14.25" hidden="false" customHeight="true" outlineLevel="0" collapsed="false">
      <c r="A144" s="11"/>
      <c r="B144" s="11"/>
      <c r="C144" s="11"/>
      <c r="D144" s="11"/>
      <c r="E144" s="11"/>
      <c r="F144" s="11"/>
      <c r="G144" s="12"/>
      <c r="H144" s="19"/>
      <c r="I144" s="11"/>
      <c r="J144" s="11"/>
      <c r="K144" s="12"/>
      <c r="L144" s="11"/>
    </row>
    <row r="145" customFormat="false" ht="14.25" hidden="false" customHeight="true" outlineLevel="0" collapsed="false">
      <c r="A145" s="11"/>
      <c r="B145" s="11"/>
      <c r="C145" s="11"/>
      <c r="D145" s="11"/>
      <c r="E145" s="11"/>
      <c r="F145" s="11"/>
      <c r="G145" s="12"/>
      <c r="H145" s="19"/>
      <c r="I145" s="11"/>
      <c r="J145" s="11"/>
      <c r="K145" s="12"/>
      <c r="L145" s="11"/>
    </row>
    <row r="146" customFormat="false" ht="14.25" hidden="false" customHeight="true" outlineLevel="0" collapsed="false">
      <c r="A146" s="11"/>
      <c r="B146" s="11"/>
      <c r="C146" s="11"/>
      <c r="D146" s="11"/>
      <c r="E146" s="11"/>
      <c r="F146" s="11"/>
      <c r="G146" s="12"/>
      <c r="H146" s="19"/>
      <c r="I146" s="11"/>
      <c r="J146" s="11"/>
      <c r="K146" s="12"/>
      <c r="L146" s="11"/>
    </row>
    <row r="147" customFormat="false" ht="14.25" hidden="false" customHeight="true" outlineLevel="0" collapsed="false">
      <c r="A147" s="11"/>
      <c r="B147" s="11"/>
      <c r="C147" s="11"/>
      <c r="D147" s="11"/>
      <c r="E147" s="11"/>
      <c r="F147" s="11"/>
      <c r="G147" s="12"/>
      <c r="H147" s="19"/>
      <c r="I147" s="11"/>
      <c r="J147" s="11"/>
      <c r="K147" s="12"/>
      <c r="L147" s="11"/>
    </row>
    <row r="148" customFormat="false" ht="14.25" hidden="false" customHeight="true" outlineLevel="0" collapsed="false">
      <c r="A148" s="11"/>
      <c r="B148" s="11"/>
      <c r="C148" s="11"/>
      <c r="D148" s="11"/>
      <c r="E148" s="11"/>
      <c r="F148" s="11"/>
      <c r="G148" s="12"/>
      <c r="H148" s="19"/>
      <c r="I148" s="11"/>
      <c r="J148" s="11"/>
      <c r="K148" s="12"/>
      <c r="L148" s="11"/>
    </row>
    <row r="149" customFormat="false" ht="14.25" hidden="false" customHeight="true" outlineLevel="0" collapsed="false">
      <c r="A149" s="11"/>
      <c r="B149" s="11"/>
      <c r="C149" s="11"/>
      <c r="D149" s="11"/>
      <c r="E149" s="11"/>
      <c r="F149" s="11"/>
      <c r="G149" s="12"/>
      <c r="H149" s="19"/>
      <c r="I149" s="11"/>
      <c r="J149" s="11"/>
      <c r="K149" s="12"/>
      <c r="L149" s="11"/>
    </row>
    <row r="150" customFormat="false" ht="14.25" hidden="false" customHeight="true" outlineLevel="0" collapsed="false">
      <c r="A150" s="11"/>
      <c r="B150" s="11"/>
      <c r="C150" s="11"/>
      <c r="D150" s="11"/>
      <c r="E150" s="11"/>
      <c r="F150" s="11"/>
      <c r="G150" s="12"/>
      <c r="H150" s="19"/>
      <c r="I150" s="11"/>
      <c r="J150" s="11"/>
      <c r="K150" s="12"/>
      <c r="L150" s="11"/>
    </row>
    <row r="151" customFormat="false" ht="14.25" hidden="false" customHeight="true" outlineLevel="0" collapsed="false">
      <c r="A151" s="11"/>
      <c r="B151" s="11"/>
      <c r="C151" s="11"/>
      <c r="D151" s="11"/>
      <c r="E151" s="11"/>
      <c r="F151" s="11"/>
      <c r="G151" s="12"/>
      <c r="H151" s="19"/>
      <c r="I151" s="11"/>
      <c r="J151" s="11"/>
      <c r="K151" s="12"/>
      <c r="L151" s="11"/>
    </row>
    <row r="152" customFormat="false" ht="14.25" hidden="false" customHeight="true" outlineLevel="0" collapsed="false">
      <c r="A152" s="11"/>
      <c r="B152" s="11"/>
      <c r="C152" s="11"/>
      <c r="D152" s="11"/>
      <c r="E152" s="11"/>
      <c r="F152" s="11"/>
      <c r="G152" s="12"/>
      <c r="H152" s="19"/>
      <c r="I152" s="11"/>
      <c r="J152" s="11"/>
      <c r="K152" s="12"/>
      <c r="L152" s="11"/>
    </row>
    <row r="153" customFormat="false" ht="14.25" hidden="false" customHeight="true" outlineLevel="0" collapsed="false">
      <c r="A153" s="11"/>
      <c r="B153" s="11"/>
      <c r="C153" s="11"/>
      <c r="D153" s="11"/>
      <c r="E153" s="11"/>
      <c r="F153" s="11"/>
      <c r="G153" s="12"/>
      <c r="H153" s="19"/>
      <c r="I153" s="11"/>
      <c r="J153" s="11"/>
      <c r="K153" s="12"/>
      <c r="L153" s="11"/>
    </row>
    <row r="154" customFormat="false" ht="14.25" hidden="false" customHeight="true" outlineLevel="0" collapsed="false">
      <c r="A154" s="11"/>
      <c r="B154" s="11"/>
      <c r="C154" s="11"/>
      <c r="D154" s="11"/>
      <c r="E154" s="11"/>
      <c r="F154" s="11"/>
      <c r="G154" s="12"/>
      <c r="H154" s="19"/>
      <c r="I154" s="11"/>
      <c r="J154" s="11"/>
      <c r="K154" s="12"/>
      <c r="L154" s="11"/>
    </row>
    <row r="155" customFormat="false" ht="14.25" hidden="false" customHeight="true" outlineLevel="0" collapsed="false">
      <c r="A155" s="11"/>
      <c r="B155" s="11"/>
      <c r="C155" s="11"/>
      <c r="D155" s="11"/>
      <c r="E155" s="11"/>
      <c r="F155" s="11"/>
      <c r="G155" s="12"/>
      <c r="H155" s="19"/>
      <c r="I155" s="11"/>
      <c r="J155" s="11"/>
      <c r="K155" s="12"/>
      <c r="L155" s="11"/>
    </row>
    <row r="156" customFormat="false" ht="14.25" hidden="false" customHeight="true" outlineLevel="0" collapsed="false">
      <c r="A156" s="11"/>
      <c r="B156" s="11"/>
      <c r="C156" s="11"/>
      <c r="D156" s="11"/>
      <c r="E156" s="11"/>
      <c r="F156" s="11"/>
      <c r="G156" s="12"/>
      <c r="H156" s="19"/>
      <c r="I156" s="11"/>
      <c r="J156" s="11"/>
      <c r="K156" s="12"/>
      <c r="L156" s="11"/>
    </row>
    <row r="157" customFormat="false" ht="14.25" hidden="false" customHeight="true" outlineLevel="0" collapsed="false">
      <c r="A157" s="11"/>
      <c r="B157" s="11"/>
      <c r="C157" s="11"/>
      <c r="D157" s="11"/>
      <c r="E157" s="11"/>
      <c r="F157" s="11"/>
      <c r="G157" s="12"/>
      <c r="H157" s="19"/>
      <c r="I157" s="11"/>
      <c r="J157" s="11"/>
      <c r="K157" s="12"/>
      <c r="L157" s="11"/>
    </row>
    <row r="158" customFormat="false" ht="14.25" hidden="false" customHeight="true" outlineLevel="0" collapsed="false">
      <c r="A158" s="11"/>
      <c r="B158" s="11"/>
      <c r="C158" s="11"/>
      <c r="D158" s="11"/>
      <c r="E158" s="11"/>
      <c r="F158" s="11"/>
      <c r="G158" s="12"/>
      <c r="H158" s="19"/>
      <c r="I158" s="11"/>
      <c r="J158" s="11"/>
      <c r="K158" s="12"/>
      <c r="L158" s="11"/>
    </row>
    <row r="159" customFormat="false" ht="14.25" hidden="false" customHeight="true" outlineLevel="0" collapsed="false">
      <c r="A159" s="11"/>
      <c r="B159" s="11"/>
      <c r="C159" s="11"/>
      <c r="D159" s="11"/>
      <c r="E159" s="11"/>
      <c r="F159" s="11"/>
      <c r="G159" s="12"/>
      <c r="H159" s="19"/>
      <c r="I159" s="11"/>
      <c r="J159" s="11"/>
      <c r="K159" s="12"/>
      <c r="L159" s="11"/>
    </row>
    <row r="160" customFormat="false" ht="14.25" hidden="false" customHeight="true" outlineLevel="0" collapsed="false">
      <c r="A160" s="11"/>
      <c r="B160" s="11"/>
      <c r="C160" s="11"/>
      <c r="D160" s="11"/>
      <c r="E160" s="11"/>
      <c r="F160" s="11"/>
      <c r="G160" s="12"/>
      <c r="H160" s="19"/>
      <c r="I160" s="11"/>
      <c r="J160" s="11"/>
      <c r="K160" s="12"/>
      <c r="L160" s="11"/>
    </row>
    <row r="161" customFormat="false" ht="14.25" hidden="false" customHeight="true" outlineLevel="0" collapsed="false">
      <c r="A161" s="11"/>
      <c r="B161" s="11"/>
      <c r="C161" s="11"/>
      <c r="D161" s="11"/>
      <c r="E161" s="11"/>
      <c r="F161" s="11"/>
      <c r="G161" s="12"/>
      <c r="H161" s="19"/>
      <c r="I161" s="11"/>
      <c r="J161" s="11"/>
      <c r="K161" s="12"/>
      <c r="L161" s="11"/>
    </row>
    <row r="162" customFormat="false" ht="14.25" hidden="false" customHeight="true" outlineLevel="0" collapsed="false">
      <c r="A162" s="11"/>
      <c r="B162" s="11"/>
      <c r="C162" s="11"/>
      <c r="D162" s="11"/>
      <c r="E162" s="11"/>
      <c r="F162" s="11"/>
      <c r="G162" s="12"/>
      <c r="H162" s="19"/>
      <c r="I162" s="11"/>
      <c r="J162" s="11"/>
      <c r="K162" s="12"/>
      <c r="L162" s="11"/>
    </row>
    <row r="163" customFormat="false" ht="14.25" hidden="false" customHeight="true" outlineLevel="0" collapsed="false">
      <c r="A163" s="11"/>
      <c r="B163" s="11"/>
      <c r="C163" s="11"/>
      <c r="D163" s="11"/>
      <c r="E163" s="11"/>
      <c r="F163" s="11"/>
      <c r="G163" s="12"/>
      <c r="H163" s="19"/>
      <c r="I163" s="11"/>
      <c r="J163" s="11"/>
      <c r="K163" s="12"/>
      <c r="L163" s="11"/>
    </row>
    <row r="164" customFormat="false" ht="14.25" hidden="false" customHeight="true" outlineLevel="0" collapsed="false">
      <c r="A164" s="11"/>
      <c r="B164" s="11"/>
      <c r="C164" s="11"/>
      <c r="D164" s="11"/>
      <c r="E164" s="11"/>
      <c r="F164" s="11"/>
      <c r="G164" s="12"/>
      <c r="H164" s="19"/>
      <c r="I164" s="11"/>
      <c r="J164" s="11"/>
      <c r="K164" s="12"/>
      <c r="L164" s="11"/>
    </row>
    <row r="165" customFormat="false" ht="14.25" hidden="false" customHeight="true" outlineLevel="0" collapsed="false">
      <c r="A165" s="11"/>
      <c r="B165" s="11"/>
      <c r="C165" s="11"/>
      <c r="D165" s="11"/>
      <c r="E165" s="11"/>
      <c r="F165" s="11"/>
      <c r="G165" s="12"/>
      <c r="H165" s="19"/>
      <c r="I165" s="11"/>
      <c r="J165" s="11"/>
      <c r="K165" s="12"/>
      <c r="L165" s="11"/>
    </row>
    <row r="166" customFormat="false" ht="14.25" hidden="false" customHeight="true" outlineLevel="0" collapsed="false">
      <c r="A166" s="11"/>
      <c r="B166" s="11"/>
      <c r="C166" s="11"/>
      <c r="D166" s="11"/>
      <c r="E166" s="11"/>
      <c r="F166" s="11"/>
      <c r="G166" s="12"/>
      <c r="H166" s="19"/>
      <c r="I166" s="11"/>
      <c r="J166" s="11"/>
      <c r="K166" s="12"/>
      <c r="L166" s="11"/>
    </row>
    <row r="167" customFormat="false" ht="14.25" hidden="false" customHeight="true" outlineLevel="0" collapsed="false">
      <c r="A167" s="11"/>
      <c r="B167" s="11"/>
      <c r="C167" s="11"/>
      <c r="D167" s="11"/>
      <c r="E167" s="11"/>
      <c r="F167" s="11"/>
      <c r="G167" s="12"/>
      <c r="H167" s="19"/>
      <c r="I167" s="11"/>
      <c r="J167" s="11"/>
      <c r="K167" s="12"/>
      <c r="L167" s="11"/>
    </row>
    <row r="168" customFormat="false" ht="14.25" hidden="false" customHeight="true" outlineLevel="0" collapsed="false">
      <c r="A168" s="11"/>
      <c r="B168" s="11"/>
      <c r="C168" s="11"/>
      <c r="D168" s="11"/>
      <c r="E168" s="11"/>
      <c r="F168" s="11"/>
      <c r="G168" s="12"/>
      <c r="H168" s="19"/>
      <c r="I168" s="11"/>
      <c r="J168" s="11"/>
      <c r="K168" s="12"/>
      <c r="L168" s="11"/>
    </row>
    <row r="169" customFormat="false" ht="14.25" hidden="false" customHeight="true" outlineLevel="0" collapsed="false">
      <c r="A169" s="11"/>
      <c r="B169" s="11"/>
      <c r="C169" s="11"/>
      <c r="D169" s="11"/>
      <c r="E169" s="11"/>
      <c r="F169" s="11"/>
      <c r="G169" s="12"/>
      <c r="H169" s="19"/>
      <c r="I169" s="11"/>
      <c r="J169" s="11"/>
      <c r="K169" s="12"/>
      <c r="L169" s="11"/>
    </row>
    <row r="170" customFormat="false" ht="14.25" hidden="false" customHeight="true" outlineLevel="0" collapsed="false">
      <c r="A170" s="11"/>
      <c r="B170" s="11"/>
      <c r="C170" s="11"/>
      <c r="D170" s="11"/>
      <c r="E170" s="11"/>
      <c r="F170" s="11"/>
      <c r="G170" s="12"/>
      <c r="H170" s="19"/>
      <c r="I170" s="11"/>
      <c r="J170" s="11"/>
      <c r="K170" s="12"/>
      <c r="L170" s="11"/>
    </row>
    <row r="171" customFormat="false" ht="14.25" hidden="false" customHeight="true" outlineLevel="0" collapsed="false">
      <c r="A171" s="11"/>
      <c r="B171" s="11"/>
      <c r="C171" s="11"/>
      <c r="D171" s="11"/>
      <c r="E171" s="11"/>
      <c r="F171" s="11"/>
      <c r="G171" s="12"/>
      <c r="H171" s="19"/>
      <c r="I171" s="11"/>
      <c r="J171" s="11"/>
      <c r="K171" s="12"/>
      <c r="L171" s="11"/>
    </row>
    <row r="172" customFormat="false" ht="14.25" hidden="false" customHeight="true" outlineLevel="0" collapsed="false">
      <c r="A172" s="11"/>
      <c r="B172" s="11"/>
      <c r="C172" s="11"/>
      <c r="D172" s="11"/>
      <c r="E172" s="11"/>
      <c r="F172" s="11"/>
      <c r="G172" s="12"/>
      <c r="H172" s="19"/>
      <c r="I172" s="11"/>
      <c r="J172" s="11"/>
      <c r="K172" s="12"/>
      <c r="L172" s="11"/>
    </row>
    <row r="173" customFormat="false" ht="14.25" hidden="false" customHeight="true" outlineLevel="0" collapsed="false">
      <c r="A173" s="11"/>
      <c r="B173" s="11"/>
      <c r="C173" s="11"/>
      <c r="D173" s="11"/>
      <c r="E173" s="11"/>
      <c r="F173" s="11"/>
      <c r="G173" s="12"/>
      <c r="H173" s="19"/>
      <c r="I173" s="11"/>
      <c r="J173" s="11"/>
      <c r="K173" s="12"/>
      <c r="L173" s="11"/>
    </row>
    <row r="174" customFormat="false" ht="14.25" hidden="false" customHeight="true" outlineLevel="0" collapsed="false">
      <c r="A174" s="11"/>
      <c r="B174" s="11"/>
      <c r="C174" s="11"/>
      <c r="D174" s="11"/>
      <c r="E174" s="11"/>
      <c r="F174" s="11"/>
      <c r="G174" s="12"/>
      <c r="H174" s="19"/>
      <c r="I174" s="11"/>
      <c r="J174" s="11"/>
      <c r="K174" s="12"/>
      <c r="L174" s="11"/>
    </row>
    <row r="175" customFormat="false" ht="14.25" hidden="false" customHeight="true" outlineLevel="0" collapsed="false">
      <c r="A175" s="11"/>
      <c r="B175" s="11"/>
      <c r="C175" s="11"/>
      <c r="D175" s="11"/>
      <c r="E175" s="11"/>
      <c r="F175" s="11"/>
      <c r="G175" s="12"/>
      <c r="H175" s="19"/>
      <c r="I175" s="11"/>
      <c r="J175" s="11"/>
      <c r="K175" s="12"/>
      <c r="L175" s="11"/>
    </row>
    <row r="176" customFormat="false" ht="14.25" hidden="false" customHeight="true" outlineLevel="0" collapsed="false">
      <c r="A176" s="11"/>
      <c r="B176" s="11"/>
      <c r="C176" s="11"/>
      <c r="D176" s="11"/>
      <c r="E176" s="11"/>
      <c r="F176" s="11"/>
      <c r="G176" s="12"/>
      <c r="H176" s="19"/>
      <c r="I176" s="11"/>
      <c r="J176" s="11"/>
      <c r="K176" s="12"/>
      <c r="L176" s="11"/>
    </row>
    <row r="177" customFormat="false" ht="14.25" hidden="false" customHeight="true" outlineLevel="0" collapsed="false">
      <c r="A177" s="11"/>
      <c r="B177" s="11"/>
      <c r="C177" s="11"/>
      <c r="D177" s="11"/>
      <c r="E177" s="11"/>
      <c r="F177" s="11"/>
      <c r="G177" s="12"/>
      <c r="H177" s="19"/>
      <c r="I177" s="11"/>
      <c r="J177" s="11"/>
      <c r="K177" s="12"/>
      <c r="L177" s="11"/>
    </row>
    <row r="178" customFormat="false" ht="14.25" hidden="false" customHeight="true" outlineLevel="0" collapsed="false">
      <c r="A178" s="11"/>
      <c r="B178" s="11"/>
      <c r="C178" s="11"/>
      <c r="D178" s="11"/>
      <c r="E178" s="11"/>
      <c r="F178" s="11"/>
      <c r="G178" s="12"/>
      <c r="H178" s="19"/>
      <c r="I178" s="11"/>
      <c r="J178" s="11"/>
      <c r="K178" s="12"/>
      <c r="L178" s="11"/>
    </row>
    <row r="179" customFormat="false" ht="14.25" hidden="false" customHeight="true" outlineLevel="0" collapsed="false">
      <c r="A179" s="11"/>
      <c r="B179" s="11"/>
      <c r="C179" s="11"/>
      <c r="D179" s="11"/>
      <c r="E179" s="11"/>
      <c r="F179" s="11"/>
      <c r="G179" s="12"/>
      <c r="H179" s="19"/>
      <c r="I179" s="11"/>
      <c r="J179" s="11"/>
      <c r="K179" s="12"/>
      <c r="L179" s="11"/>
    </row>
    <row r="180" customFormat="false" ht="14.25" hidden="false" customHeight="true" outlineLevel="0" collapsed="false">
      <c r="A180" s="11"/>
      <c r="B180" s="11"/>
      <c r="C180" s="11"/>
      <c r="D180" s="11"/>
      <c r="E180" s="11"/>
      <c r="F180" s="11"/>
      <c r="G180" s="12"/>
      <c r="H180" s="19"/>
      <c r="I180" s="11"/>
      <c r="J180" s="11"/>
      <c r="K180" s="12"/>
      <c r="L180" s="11"/>
    </row>
    <row r="181" customFormat="false" ht="14.25" hidden="false" customHeight="true" outlineLevel="0" collapsed="false">
      <c r="A181" s="11"/>
      <c r="B181" s="11"/>
      <c r="C181" s="11"/>
      <c r="D181" s="11"/>
      <c r="E181" s="11"/>
      <c r="F181" s="11"/>
      <c r="G181" s="12"/>
      <c r="H181" s="19"/>
      <c r="I181" s="11"/>
      <c r="J181" s="11"/>
      <c r="K181" s="12"/>
      <c r="L181" s="11"/>
    </row>
    <row r="182" customFormat="false" ht="14.25" hidden="false" customHeight="true" outlineLevel="0" collapsed="false">
      <c r="A182" s="11"/>
      <c r="B182" s="11"/>
      <c r="C182" s="11"/>
      <c r="D182" s="11"/>
      <c r="E182" s="11"/>
      <c r="F182" s="11"/>
      <c r="G182" s="12"/>
      <c r="H182" s="19"/>
      <c r="I182" s="11"/>
      <c r="J182" s="11"/>
      <c r="K182" s="12"/>
      <c r="L182" s="11"/>
    </row>
    <row r="183" customFormat="false" ht="14.25" hidden="false" customHeight="true" outlineLevel="0" collapsed="false">
      <c r="A183" s="11"/>
      <c r="B183" s="11"/>
      <c r="C183" s="11"/>
      <c r="D183" s="11"/>
      <c r="E183" s="11"/>
      <c r="F183" s="11"/>
      <c r="G183" s="12"/>
      <c r="H183" s="19"/>
      <c r="I183" s="11"/>
      <c r="J183" s="11"/>
      <c r="K183" s="12"/>
      <c r="L183" s="11"/>
    </row>
    <row r="184" customFormat="false" ht="14.25" hidden="false" customHeight="true" outlineLevel="0" collapsed="false">
      <c r="A184" s="11"/>
      <c r="B184" s="11"/>
      <c r="C184" s="11"/>
      <c r="D184" s="11"/>
      <c r="E184" s="11"/>
      <c r="F184" s="11"/>
      <c r="G184" s="12"/>
      <c r="H184" s="19"/>
      <c r="I184" s="11"/>
      <c r="J184" s="11"/>
      <c r="K184" s="12"/>
      <c r="L184" s="11"/>
    </row>
    <row r="185" customFormat="false" ht="14.25" hidden="false" customHeight="true" outlineLevel="0" collapsed="false">
      <c r="A185" s="11"/>
      <c r="B185" s="11"/>
      <c r="C185" s="11"/>
      <c r="D185" s="11"/>
      <c r="E185" s="11"/>
      <c r="F185" s="11"/>
      <c r="G185" s="12"/>
      <c r="H185" s="19"/>
      <c r="I185" s="11"/>
      <c r="J185" s="11"/>
      <c r="K185" s="12"/>
      <c r="L185" s="11"/>
    </row>
    <row r="186" customFormat="false" ht="14.25" hidden="false" customHeight="true" outlineLevel="0" collapsed="false">
      <c r="A186" s="11"/>
      <c r="B186" s="11"/>
      <c r="C186" s="11"/>
      <c r="D186" s="11"/>
      <c r="E186" s="11"/>
      <c r="F186" s="11"/>
      <c r="G186" s="12"/>
      <c r="H186" s="19"/>
      <c r="I186" s="11"/>
      <c r="J186" s="11"/>
      <c r="K186" s="12"/>
      <c r="L186" s="11"/>
    </row>
    <row r="187" customFormat="false" ht="14.25" hidden="false" customHeight="true" outlineLevel="0" collapsed="false">
      <c r="A187" s="11"/>
      <c r="B187" s="11"/>
      <c r="C187" s="11"/>
      <c r="D187" s="11"/>
      <c r="E187" s="11"/>
      <c r="F187" s="11"/>
      <c r="G187" s="12"/>
      <c r="H187" s="19"/>
      <c r="I187" s="11"/>
      <c r="J187" s="11"/>
      <c r="K187" s="12"/>
      <c r="L187" s="11"/>
    </row>
    <row r="188" customFormat="false" ht="14.25" hidden="false" customHeight="true" outlineLevel="0" collapsed="false">
      <c r="A188" s="11"/>
      <c r="B188" s="11"/>
      <c r="C188" s="11"/>
      <c r="D188" s="11"/>
      <c r="E188" s="11"/>
      <c r="F188" s="11"/>
      <c r="G188" s="12"/>
      <c r="H188" s="19"/>
      <c r="I188" s="11"/>
      <c r="J188" s="11"/>
      <c r="K188" s="12"/>
      <c r="L188" s="11"/>
    </row>
    <row r="189" customFormat="false" ht="14.25" hidden="false" customHeight="true" outlineLevel="0" collapsed="false">
      <c r="A189" s="11"/>
      <c r="B189" s="11"/>
      <c r="C189" s="11"/>
      <c r="D189" s="11"/>
      <c r="E189" s="11"/>
      <c r="F189" s="11"/>
      <c r="G189" s="12"/>
      <c r="H189" s="19"/>
      <c r="I189" s="11"/>
      <c r="J189" s="11"/>
      <c r="K189" s="12"/>
      <c r="L189" s="11"/>
    </row>
    <row r="190" customFormat="false" ht="14.25" hidden="false" customHeight="true" outlineLevel="0" collapsed="false">
      <c r="A190" s="11"/>
      <c r="B190" s="11"/>
      <c r="C190" s="11"/>
      <c r="D190" s="11"/>
      <c r="E190" s="11"/>
      <c r="F190" s="11"/>
      <c r="G190" s="12"/>
      <c r="H190" s="19"/>
      <c r="I190" s="11"/>
      <c r="J190" s="11"/>
      <c r="K190" s="12"/>
      <c r="L190" s="11"/>
    </row>
    <row r="191" customFormat="false" ht="14.25" hidden="false" customHeight="true" outlineLevel="0" collapsed="false">
      <c r="A191" s="11"/>
      <c r="B191" s="11"/>
      <c r="C191" s="11"/>
      <c r="D191" s="11"/>
      <c r="E191" s="11"/>
      <c r="F191" s="11"/>
      <c r="G191" s="12"/>
      <c r="H191" s="19"/>
      <c r="I191" s="11"/>
      <c r="J191" s="11"/>
      <c r="K191" s="12"/>
      <c r="L191" s="11"/>
    </row>
    <row r="192" customFormat="false" ht="14.25" hidden="false" customHeight="true" outlineLevel="0" collapsed="false">
      <c r="A192" s="11"/>
      <c r="B192" s="11"/>
      <c r="C192" s="11"/>
      <c r="D192" s="11"/>
      <c r="E192" s="11"/>
      <c r="F192" s="11"/>
      <c r="G192" s="12"/>
      <c r="H192" s="19"/>
      <c r="I192" s="11"/>
      <c r="J192" s="11"/>
      <c r="K192" s="12"/>
      <c r="L192" s="11"/>
    </row>
    <row r="193" customFormat="false" ht="14.25" hidden="false" customHeight="true" outlineLevel="0" collapsed="false">
      <c r="A193" s="11"/>
      <c r="B193" s="11"/>
      <c r="C193" s="11"/>
      <c r="D193" s="11"/>
      <c r="E193" s="11"/>
      <c r="F193" s="11"/>
      <c r="G193" s="12"/>
      <c r="H193" s="19"/>
      <c r="I193" s="11"/>
      <c r="J193" s="11"/>
      <c r="K193" s="12"/>
      <c r="L193" s="11"/>
    </row>
    <row r="194" customFormat="false" ht="14.25" hidden="false" customHeight="true" outlineLevel="0" collapsed="false">
      <c r="A194" s="11"/>
      <c r="B194" s="11"/>
      <c r="C194" s="11"/>
      <c r="D194" s="11"/>
      <c r="E194" s="11"/>
      <c r="F194" s="11"/>
      <c r="G194" s="12"/>
      <c r="H194" s="19"/>
      <c r="I194" s="11"/>
      <c r="J194" s="11"/>
      <c r="K194" s="12"/>
      <c r="L194" s="11"/>
    </row>
    <row r="195" customFormat="false" ht="14.25" hidden="false" customHeight="true" outlineLevel="0" collapsed="false">
      <c r="A195" s="11"/>
      <c r="B195" s="11"/>
      <c r="C195" s="11"/>
      <c r="D195" s="11"/>
      <c r="E195" s="11"/>
      <c r="F195" s="11"/>
      <c r="G195" s="12"/>
      <c r="H195" s="19"/>
      <c r="I195" s="11"/>
      <c r="J195" s="11"/>
      <c r="K195" s="12"/>
      <c r="L195" s="11"/>
    </row>
    <row r="196" customFormat="false" ht="14.25" hidden="false" customHeight="true" outlineLevel="0" collapsed="false">
      <c r="A196" s="11"/>
      <c r="B196" s="11"/>
      <c r="C196" s="11"/>
      <c r="D196" s="11"/>
      <c r="E196" s="11"/>
      <c r="F196" s="11"/>
      <c r="G196" s="12"/>
      <c r="H196" s="19"/>
      <c r="I196" s="11"/>
      <c r="J196" s="11"/>
      <c r="K196" s="12"/>
      <c r="L196" s="11"/>
    </row>
    <row r="197" customFormat="false" ht="14.25" hidden="false" customHeight="true" outlineLevel="0" collapsed="false">
      <c r="A197" s="11"/>
      <c r="B197" s="11"/>
      <c r="C197" s="11"/>
      <c r="D197" s="11"/>
      <c r="E197" s="11"/>
      <c r="F197" s="11"/>
      <c r="G197" s="12"/>
      <c r="H197" s="19"/>
      <c r="I197" s="11"/>
      <c r="J197" s="11"/>
      <c r="K197" s="12"/>
      <c r="L197" s="11"/>
    </row>
    <row r="198" customFormat="false" ht="14.25" hidden="false" customHeight="true" outlineLevel="0" collapsed="false">
      <c r="A198" s="11"/>
      <c r="B198" s="11"/>
      <c r="C198" s="11"/>
      <c r="D198" s="11"/>
      <c r="E198" s="11"/>
      <c r="F198" s="11"/>
      <c r="G198" s="12"/>
      <c r="H198" s="19"/>
      <c r="I198" s="11"/>
      <c r="J198" s="11"/>
      <c r="K198" s="12"/>
      <c r="L198" s="11"/>
    </row>
    <row r="199" customFormat="false" ht="14.25" hidden="false" customHeight="true" outlineLevel="0" collapsed="false">
      <c r="A199" s="11"/>
      <c r="B199" s="11"/>
      <c r="C199" s="11"/>
      <c r="D199" s="11"/>
      <c r="E199" s="11"/>
      <c r="F199" s="11"/>
      <c r="G199" s="12"/>
      <c r="H199" s="19"/>
      <c r="I199" s="11"/>
      <c r="J199" s="11"/>
      <c r="K199" s="12"/>
      <c r="L199" s="11"/>
    </row>
    <row r="200" customFormat="false" ht="14.25" hidden="false" customHeight="true" outlineLevel="0" collapsed="false">
      <c r="A200" s="11"/>
      <c r="B200" s="11"/>
      <c r="C200" s="11"/>
      <c r="D200" s="11"/>
      <c r="E200" s="11"/>
      <c r="F200" s="11"/>
      <c r="G200" s="12"/>
      <c r="H200" s="19"/>
      <c r="I200" s="11"/>
      <c r="J200" s="11"/>
      <c r="K200" s="12"/>
      <c r="L200" s="11"/>
    </row>
    <row r="201" customFormat="false" ht="14.25" hidden="false" customHeight="true" outlineLevel="0" collapsed="false">
      <c r="A201" s="11"/>
      <c r="B201" s="11"/>
      <c r="C201" s="11"/>
      <c r="D201" s="11"/>
      <c r="E201" s="11"/>
      <c r="F201" s="11"/>
      <c r="G201" s="12"/>
      <c r="H201" s="19"/>
      <c r="I201" s="11"/>
      <c r="J201" s="11"/>
      <c r="K201" s="12"/>
      <c r="L201" s="11"/>
    </row>
    <row r="202" customFormat="false" ht="14.25" hidden="false" customHeight="true" outlineLevel="0" collapsed="false">
      <c r="A202" s="1" t="s">
        <v>143</v>
      </c>
      <c r="B202" s="1" t="s">
        <v>249</v>
      </c>
      <c r="C202" s="1" t="s">
        <v>76</v>
      </c>
      <c r="D202" s="1" t="s">
        <v>250</v>
      </c>
      <c r="E202" s="1" t="s">
        <v>251</v>
      </c>
      <c r="F202" s="1" t="s">
        <v>252</v>
      </c>
      <c r="G202" s="1" t="s">
        <v>253</v>
      </c>
      <c r="H202" s="1" t="s">
        <v>224</v>
      </c>
      <c r="I202" s="1" t="s">
        <v>254</v>
      </c>
      <c r="J202" s="1" t="s">
        <v>100</v>
      </c>
      <c r="K202" s="1" t="s">
        <v>226</v>
      </c>
    </row>
    <row r="203" customFormat="false" ht="14.25" hidden="false" customHeight="true" outlineLevel="0" collapsed="false">
      <c r="A203" s="1" t="s">
        <v>163</v>
      </c>
      <c r="B203" s="1" t="s">
        <v>255</v>
      </c>
      <c r="C203" s="1" t="s">
        <v>76</v>
      </c>
      <c r="D203" s="1" t="s">
        <v>256</v>
      </c>
      <c r="E203" s="1" t="s">
        <v>257</v>
      </c>
      <c r="F203" s="1" t="s">
        <v>258</v>
      </c>
      <c r="G203" s="1" t="s">
        <v>259</v>
      </c>
      <c r="H203" s="1" t="s">
        <v>260</v>
      </c>
      <c r="I203" s="1" t="s">
        <v>261</v>
      </c>
      <c r="J203" s="1" t="s">
        <v>100</v>
      </c>
      <c r="K203" s="1" t="s">
        <v>226</v>
      </c>
    </row>
    <row r="204" customFormat="false" ht="14.25" hidden="false" customHeight="true" outlineLevel="0" collapsed="false">
      <c r="A204" s="1" t="s">
        <v>205</v>
      </c>
      <c r="B204" s="1" t="s">
        <v>262</v>
      </c>
      <c r="C204" s="1" t="s">
        <v>76</v>
      </c>
      <c r="D204" s="1" t="s">
        <v>256</v>
      </c>
      <c r="E204" s="1" t="s">
        <v>263</v>
      </c>
      <c r="F204" s="1" t="s">
        <v>264</v>
      </c>
      <c r="G204" s="1" t="s">
        <v>259</v>
      </c>
      <c r="H204" s="1" t="s">
        <v>265</v>
      </c>
      <c r="I204" s="1" t="s">
        <v>266</v>
      </c>
      <c r="J204" s="1" t="s">
        <v>100</v>
      </c>
      <c r="K204" s="1" t="s">
        <v>226</v>
      </c>
    </row>
    <row r="205" customFormat="false" ht="14.25" hidden="false" customHeight="true" outlineLevel="0" collapsed="false">
      <c r="A205" s="1" t="s">
        <v>155</v>
      </c>
      <c r="B205" s="1" t="s">
        <v>267</v>
      </c>
      <c r="C205" s="1" t="s">
        <v>76</v>
      </c>
      <c r="D205" s="1" t="s">
        <v>268</v>
      </c>
      <c r="E205" s="1" t="s">
        <v>269</v>
      </c>
      <c r="F205" s="1" t="s">
        <v>270</v>
      </c>
      <c r="G205" s="1" t="s">
        <v>271</v>
      </c>
      <c r="H205" s="1" t="s">
        <v>260</v>
      </c>
      <c r="I205" s="1" t="s">
        <v>272</v>
      </c>
      <c r="J205" s="1" t="s">
        <v>100</v>
      </c>
      <c r="K205" s="1" t="s">
        <v>226</v>
      </c>
    </row>
    <row r="206" customFormat="false" ht="14.25" hidden="false" customHeight="true" outlineLevel="0" collapsed="false">
      <c r="A206" s="1" t="s">
        <v>135</v>
      </c>
      <c r="B206" s="1" t="s">
        <v>273</v>
      </c>
      <c r="C206" s="1" t="s">
        <v>76</v>
      </c>
      <c r="D206" s="1" t="s">
        <v>268</v>
      </c>
      <c r="E206" s="1" t="s">
        <v>274</v>
      </c>
      <c r="F206" s="1" t="s">
        <v>275</v>
      </c>
      <c r="G206" s="1" t="s">
        <v>276</v>
      </c>
      <c r="H206" s="1" t="s">
        <v>224</v>
      </c>
      <c r="I206" s="1" t="s">
        <v>277</v>
      </c>
      <c r="J206" s="1" t="s">
        <v>100</v>
      </c>
      <c r="K206" s="1" t="s">
        <v>226</v>
      </c>
    </row>
  </sheetData>
  <mergeCells count="1">
    <mergeCell ref="A1:L1"/>
  </mergeCells>
  <conditionalFormatting sqref="J3:J201">
    <cfRule type="expression" priority="2" aboveAverage="0" equalAverage="0" bottom="0" percent="0" rank="0" text="" dxfId="6">
      <formula>J3="Yes"</formula>
    </cfRule>
    <cfRule type="expression" priority="3" aboveAverage="0" equalAverage="0" bottom="0" percent="0" rank="0" text="" dxfId="9">
      <formula>J3="No"</formula>
    </cfRule>
  </conditionalFormatting>
  <dataValidations count="2">
    <dataValidation allowBlank="false" errorStyle="stop" operator="between" showDropDown="false" showErrorMessage="false" showInputMessage="false" sqref="C3:C201" type="list">
      <formula1>"Unit 1 / Phase 1,Phase 2,Phase 3,Final"</formula1>
      <formula2>0</formula2>
    </dataValidation>
    <dataValidation allowBlank="false" errorStyle="stop" operator="between" showDropDown="false" showErrorMessage="false" showInputMessage="false" sqref="J3:J201"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9.00390625" defaultRowHeight="14.25" zeroHeight="false" outlineLevelRow="0" outlineLevelCol="0"/>
  <cols>
    <col collapsed="false" customWidth="true" hidden="false" outlineLevel="0" max="1" min="1" style="1" width="15"/>
    <col collapsed="false" customWidth="true" hidden="false" outlineLevel="0" max="2" min="2" style="1" width="19"/>
    <col collapsed="false" customWidth="true" hidden="false" outlineLevel="0" max="4" min="3" style="1" width="34"/>
    <col collapsed="false" customWidth="true" hidden="false" outlineLevel="0" max="5" min="5" style="1" width="38"/>
    <col collapsed="false" customWidth="true" hidden="false" outlineLevel="0" max="6" min="6" style="1" width="24"/>
    <col collapsed="false" customWidth="true" hidden="false" outlineLevel="0" max="8" min="7" style="1" width="14"/>
  </cols>
  <sheetData>
    <row r="1" customFormat="false" ht="19.5" hidden="false" customHeight="true" outlineLevel="0" collapsed="false">
      <c r="A1" s="2" t="s">
        <v>278</v>
      </c>
      <c r="B1" s="2"/>
      <c r="C1" s="2"/>
      <c r="D1" s="2"/>
      <c r="E1" s="2"/>
      <c r="F1" s="2"/>
      <c r="G1" s="2"/>
      <c r="H1" s="2"/>
    </row>
    <row r="2" customFormat="false" ht="14.25" hidden="false" customHeight="true" outlineLevel="0" collapsed="false">
      <c r="A2" s="4" t="s">
        <v>279</v>
      </c>
      <c r="B2" s="4" t="s">
        <v>83</v>
      </c>
      <c r="C2" s="4" t="s">
        <v>280</v>
      </c>
      <c r="D2" s="4" t="s">
        <v>281</v>
      </c>
      <c r="E2" s="4" t="s">
        <v>282</v>
      </c>
      <c r="F2" s="4" t="s">
        <v>283</v>
      </c>
      <c r="G2" s="4" t="s">
        <v>284</v>
      </c>
      <c r="H2" s="4" t="s">
        <v>89</v>
      </c>
    </row>
    <row r="3" customFormat="false" ht="27.75" hidden="false" customHeight="true" outlineLevel="0" collapsed="false">
      <c r="A3" s="12" t="s">
        <v>285</v>
      </c>
      <c r="B3" s="11" t="s">
        <v>32</v>
      </c>
      <c r="C3" s="11" t="s">
        <v>286</v>
      </c>
      <c r="D3" s="11" t="s">
        <v>287</v>
      </c>
      <c r="E3" s="11" t="s">
        <v>288</v>
      </c>
      <c r="F3" s="11" t="s">
        <v>143</v>
      </c>
      <c r="G3" s="12" t="s">
        <v>289</v>
      </c>
      <c r="H3" s="11" t="s">
        <v>50</v>
      </c>
    </row>
    <row r="4" customFormat="false" ht="14.25" hidden="false" customHeight="true" outlineLevel="0" collapsed="false">
      <c r="A4" s="12"/>
      <c r="B4" s="11"/>
      <c r="C4" s="11"/>
      <c r="D4" s="11"/>
      <c r="E4" s="11"/>
      <c r="F4" s="11"/>
      <c r="G4" s="12"/>
      <c r="H4" s="11"/>
    </row>
    <row r="5" customFormat="false" ht="14.25" hidden="false" customHeight="true" outlineLevel="0" collapsed="false">
      <c r="A5" s="12"/>
      <c r="B5" s="11"/>
      <c r="C5" s="11"/>
      <c r="D5" s="11"/>
      <c r="E5" s="11"/>
      <c r="F5" s="11"/>
      <c r="G5" s="12"/>
      <c r="H5" s="11"/>
    </row>
    <row r="6" customFormat="false" ht="14.25" hidden="false" customHeight="true" outlineLevel="0" collapsed="false">
      <c r="A6" s="12"/>
      <c r="B6" s="11"/>
      <c r="C6" s="11"/>
      <c r="D6" s="11"/>
      <c r="E6" s="11"/>
      <c r="F6" s="11"/>
      <c r="G6" s="12"/>
      <c r="H6" s="11"/>
    </row>
    <row r="7" customFormat="false" ht="14.25" hidden="false" customHeight="true" outlineLevel="0" collapsed="false">
      <c r="A7" s="12"/>
      <c r="B7" s="11"/>
      <c r="C7" s="11"/>
      <c r="D7" s="11"/>
      <c r="E7" s="11"/>
      <c r="F7" s="11"/>
      <c r="G7" s="12"/>
      <c r="H7" s="11"/>
    </row>
    <row r="8" customFormat="false" ht="14.25" hidden="false" customHeight="true" outlineLevel="0" collapsed="false">
      <c r="A8" s="12"/>
      <c r="B8" s="11"/>
      <c r="C8" s="11"/>
      <c r="D8" s="11"/>
      <c r="E8" s="11"/>
      <c r="F8" s="11"/>
      <c r="G8" s="12"/>
      <c r="H8" s="11"/>
    </row>
    <row r="9" customFormat="false" ht="14.25" hidden="false" customHeight="true" outlineLevel="0" collapsed="false">
      <c r="A9" s="12"/>
      <c r="B9" s="11"/>
      <c r="C9" s="11"/>
      <c r="D9" s="11"/>
      <c r="E9" s="11"/>
      <c r="F9" s="11"/>
      <c r="G9" s="12"/>
      <c r="H9" s="11"/>
    </row>
    <row r="10" customFormat="false" ht="14.25" hidden="false" customHeight="true" outlineLevel="0" collapsed="false">
      <c r="A10" s="12"/>
      <c r="B10" s="11"/>
      <c r="C10" s="11"/>
      <c r="D10" s="11"/>
      <c r="E10" s="11"/>
      <c r="F10" s="11"/>
      <c r="G10" s="12"/>
      <c r="H10" s="11"/>
    </row>
    <row r="11" customFormat="false" ht="14.25" hidden="false" customHeight="true" outlineLevel="0" collapsed="false">
      <c r="A11" s="12"/>
      <c r="B11" s="11"/>
      <c r="C11" s="11"/>
      <c r="D11" s="11"/>
      <c r="E11" s="11"/>
      <c r="F11" s="11"/>
      <c r="G11" s="12"/>
      <c r="H11" s="11"/>
    </row>
    <row r="12" customFormat="false" ht="14.25" hidden="false" customHeight="true" outlineLevel="0" collapsed="false">
      <c r="A12" s="12"/>
      <c r="B12" s="11"/>
      <c r="C12" s="11"/>
      <c r="D12" s="11"/>
      <c r="E12" s="11"/>
      <c r="F12" s="11"/>
      <c r="G12" s="12"/>
      <c r="H12" s="11"/>
    </row>
    <row r="13" customFormat="false" ht="14.25" hidden="false" customHeight="true" outlineLevel="0" collapsed="false">
      <c r="A13" s="12"/>
      <c r="B13" s="11"/>
      <c r="C13" s="11"/>
      <c r="D13" s="11"/>
      <c r="E13" s="11"/>
      <c r="F13" s="11"/>
      <c r="G13" s="12"/>
      <c r="H13" s="11"/>
    </row>
    <row r="14" customFormat="false" ht="14.25" hidden="false" customHeight="true" outlineLevel="0" collapsed="false">
      <c r="A14" s="12"/>
      <c r="B14" s="11"/>
      <c r="C14" s="11"/>
      <c r="D14" s="11"/>
      <c r="E14" s="11"/>
      <c r="F14" s="11"/>
      <c r="G14" s="12"/>
      <c r="H14" s="11"/>
    </row>
    <row r="15" customFormat="false" ht="14.25" hidden="false" customHeight="true" outlineLevel="0" collapsed="false">
      <c r="A15" s="12"/>
      <c r="B15" s="11"/>
      <c r="C15" s="11"/>
      <c r="D15" s="11"/>
      <c r="E15" s="11"/>
      <c r="F15" s="11"/>
      <c r="G15" s="12"/>
      <c r="H15" s="11"/>
    </row>
    <row r="16" customFormat="false" ht="14.25" hidden="false" customHeight="true" outlineLevel="0" collapsed="false">
      <c r="A16" s="12"/>
      <c r="B16" s="11"/>
      <c r="C16" s="11"/>
      <c r="D16" s="11"/>
      <c r="E16" s="11"/>
      <c r="F16" s="11"/>
      <c r="G16" s="12"/>
      <c r="H16" s="11"/>
    </row>
    <row r="17" customFormat="false" ht="14.25" hidden="false" customHeight="true" outlineLevel="0" collapsed="false">
      <c r="A17" s="12"/>
      <c r="B17" s="11"/>
      <c r="C17" s="11"/>
      <c r="D17" s="11"/>
      <c r="E17" s="11"/>
      <c r="F17" s="11"/>
      <c r="G17" s="12"/>
      <c r="H17" s="11"/>
    </row>
    <row r="18" customFormat="false" ht="14.25" hidden="false" customHeight="true" outlineLevel="0" collapsed="false">
      <c r="A18" s="12"/>
      <c r="B18" s="11"/>
      <c r="C18" s="11"/>
      <c r="D18" s="11"/>
      <c r="E18" s="11"/>
      <c r="F18" s="11"/>
      <c r="G18" s="12"/>
      <c r="H18" s="11"/>
    </row>
    <row r="19" customFormat="false" ht="14.25" hidden="false" customHeight="true" outlineLevel="0" collapsed="false">
      <c r="A19" s="12"/>
      <c r="B19" s="11"/>
      <c r="C19" s="11"/>
      <c r="D19" s="11"/>
      <c r="E19" s="11"/>
      <c r="F19" s="11"/>
      <c r="G19" s="12"/>
      <c r="H19" s="11"/>
    </row>
    <row r="20" customFormat="false" ht="14.25" hidden="false" customHeight="true" outlineLevel="0" collapsed="false">
      <c r="A20" s="12"/>
      <c r="B20" s="11"/>
      <c r="C20" s="11"/>
      <c r="D20" s="11"/>
      <c r="E20" s="11"/>
      <c r="F20" s="11"/>
      <c r="G20" s="12"/>
      <c r="H20" s="11"/>
    </row>
    <row r="21" customFormat="false" ht="14.25" hidden="false" customHeight="true" outlineLevel="0" collapsed="false">
      <c r="A21" s="12"/>
      <c r="B21" s="11"/>
      <c r="C21" s="11"/>
      <c r="D21" s="11"/>
      <c r="E21" s="11"/>
      <c r="F21" s="11"/>
      <c r="G21" s="12"/>
      <c r="H21" s="11"/>
    </row>
    <row r="22" customFormat="false" ht="14.25" hidden="false" customHeight="true" outlineLevel="0" collapsed="false">
      <c r="A22" s="12"/>
      <c r="B22" s="11"/>
      <c r="C22" s="11"/>
      <c r="D22" s="11"/>
      <c r="E22" s="11"/>
      <c r="F22" s="11"/>
      <c r="G22" s="12"/>
      <c r="H22" s="11"/>
    </row>
    <row r="23" customFormat="false" ht="14.25" hidden="false" customHeight="true" outlineLevel="0" collapsed="false">
      <c r="A23" s="12"/>
      <c r="B23" s="11"/>
      <c r="C23" s="11"/>
      <c r="D23" s="11"/>
      <c r="E23" s="11"/>
      <c r="F23" s="11"/>
      <c r="G23" s="12"/>
      <c r="H23" s="11"/>
    </row>
    <row r="24" customFormat="false" ht="14.25" hidden="false" customHeight="true" outlineLevel="0" collapsed="false">
      <c r="A24" s="12"/>
      <c r="B24" s="11"/>
      <c r="C24" s="11"/>
      <c r="D24" s="11"/>
      <c r="E24" s="11"/>
      <c r="F24" s="11"/>
      <c r="G24" s="12"/>
      <c r="H24" s="11"/>
    </row>
    <row r="25" customFormat="false" ht="14.25" hidden="false" customHeight="true" outlineLevel="0" collapsed="false">
      <c r="A25" s="12"/>
      <c r="B25" s="11"/>
      <c r="C25" s="11"/>
      <c r="D25" s="11"/>
      <c r="E25" s="11"/>
      <c r="F25" s="11"/>
      <c r="G25" s="12"/>
      <c r="H25" s="11"/>
    </row>
    <row r="26" customFormat="false" ht="14.25" hidden="false" customHeight="true" outlineLevel="0" collapsed="false">
      <c r="A26" s="12"/>
      <c r="B26" s="11"/>
      <c r="C26" s="11"/>
      <c r="D26" s="11"/>
      <c r="E26" s="11"/>
      <c r="F26" s="11"/>
      <c r="G26" s="12"/>
      <c r="H26" s="11"/>
    </row>
    <row r="27" customFormat="false" ht="14.25" hidden="false" customHeight="true" outlineLevel="0" collapsed="false">
      <c r="A27" s="12"/>
      <c r="B27" s="11"/>
      <c r="C27" s="11"/>
      <c r="D27" s="11"/>
      <c r="E27" s="11"/>
      <c r="F27" s="11"/>
      <c r="G27" s="12"/>
      <c r="H27" s="11"/>
    </row>
    <row r="28" customFormat="false" ht="14.25" hidden="false" customHeight="true" outlineLevel="0" collapsed="false">
      <c r="A28" s="12"/>
      <c r="B28" s="11"/>
      <c r="C28" s="11"/>
      <c r="D28" s="11"/>
      <c r="E28" s="11"/>
      <c r="F28" s="11"/>
      <c r="G28" s="12"/>
      <c r="H28" s="11"/>
    </row>
    <row r="29" customFormat="false" ht="14.25" hidden="false" customHeight="true" outlineLevel="0" collapsed="false">
      <c r="A29" s="12"/>
      <c r="B29" s="11"/>
      <c r="C29" s="11"/>
      <c r="D29" s="11"/>
      <c r="E29" s="11"/>
      <c r="F29" s="11"/>
      <c r="G29" s="12"/>
      <c r="H29" s="11"/>
    </row>
    <row r="30" customFormat="false" ht="14.25" hidden="false" customHeight="true" outlineLevel="0" collapsed="false">
      <c r="A30" s="12"/>
      <c r="B30" s="11"/>
      <c r="C30" s="11"/>
      <c r="D30" s="11"/>
      <c r="E30" s="11"/>
      <c r="F30" s="11"/>
      <c r="G30" s="12"/>
      <c r="H30" s="11"/>
    </row>
    <row r="31" customFormat="false" ht="14.25" hidden="false" customHeight="true" outlineLevel="0" collapsed="false">
      <c r="A31" s="12"/>
      <c r="B31" s="11"/>
      <c r="C31" s="11"/>
      <c r="D31" s="11"/>
      <c r="E31" s="11"/>
      <c r="F31" s="11"/>
      <c r="G31" s="12"/>
      <c r="H31" s="11"/>
    </row>
    <row r="32" customFormat="false" ht="14.25" hidden="false" customHeight="true" outlineLevel="0" collapsed="false">
      <c r="A32" s="12"/>
      <c r="B32" s="11"/>
      <c r="C32" s="11"/>
      <c r="D32" s="11"/>
      <c r="E32" s="11"/>
      <c r="F32" s="11"/>
      <c r="G32" s="12"/>
      <c r="H32" s="11"/>
    </row>
    <row r="33" customFormat="false" ht="14.25" hidden="false" customHeight="true" outlineLevel="0" collapsed="false">
      <c r="A33" s="12"/>
      <c r="B33" s="11"/>
      <c r="C33" s="11"/>
      <c r="D33" s="11"/>
      <c r="E33" s="11"/>
      <c r="F33" s="11"/>
      <c r="G33" s="12"/>
      <c r="H33" s="11"/>
    </row>
    <row r="34" customFormat="false" ht="14.25" hidden="false" customHeight="true" outlineLevel="0" collapsed="false">
      <c r="A34" s="12"/>
      <c r="B34" s="11"/>
      <c r="C34" s="11"/>
      <c r="D34" s="11"/>
      <c r="E34" s="11"/>
      <c r="F34" s="11"/>
      <c r="G34" s="12"/>
      <c r="H34" s="11"/>
    </row>
    <row r="35" customFormat="false" ht="14.25" hidden="false" customHeight="true" outlineLevel="0" collapsed="false">
      <c r="A35" s="12"/>
      <c r="B35" s="11"/>
      <c r="C35" s="11"/>
      <c r="D35" s="11"/>
      <c r="E35" s="11"/>
      <c r="F35" s="11"/>
      <c r="G35" s="12"/>
      <c r="H35" s="11"/>
    </row>
    <row r="36" customFormat="false" ht="14.25" hidden="false" customHeight="true" outlineLevel="0" collapsed="false">
      <c r="A36" s="12"/>
      <c r="B36" s="11"/>
      <c r="C36" s="11"/>
      <c r="D36" s="11"/>
      <c r="E36" s="11"/>
      <c r="F36" s="11"/>
      <c r="G36" s="12"/>
      <c r="H36" s="11"/>
    </row>
    <row r="37" customFormat="false" ht="14.25" hidden="false" customHeight="true" outlineLevel="0" collapsed="false">
      <c r="A37" s="12"/>
      <c r="B37" s="11"/>
      <c r="C37" s="11"/>
      <c r="D37" s="11"/>
      <c r="E37" s="11"/>
      <c r="F37" s="11"/>
      <c r="G37" s="12"/>
      <c r="H37" s="11"/>
    </row>
    <row r="38" customFormat="false" ht="14.25" hidden="false" customHeight="true" outlineLevel="0" collapsed="false">
      <c r="A38" s="12"/>
      <c r="B38" s="11"/>
      <c r="C38" s="11"/>
      <c r="D38" s="11"/>
      <c r="E38" s="11"/>
      <c r="F38" s="11"/>
      <c r="G38" s="12"/>
      <c r="H38" s="11"/>
    </row>
    <row r="39" customFormat="false" ht="14.25" hidden="false" customHeight="true" outlineLevel="0" collapsed="false">
      <c r="A39" s="12"/>
      <c r="B39" s="11"/>
      <c r="C39" s="11"/>
      <c r="D39" s="11"/>
      <c r="E39" s="11"/>
      <c r="F39" s="11"/>
      <c r="G39" s="12"/>
      <c r="H39" s="11"/>
    </row>
    <row r="40" customFormat="false" ht="14.25" hidden="false" customHeight="true" outlineLevel="0" collapsed="false">
      <c r="A40" s="12"/>
      <c r="B40" s="11"/>
      <c r="C40" s="11"/>
      <c r="D40" s="11"/>
      <c r="E40" s="11"/>
      <c r="F40" s="11"/>
      <c r="G40" s="12"/>
      <c r="H40" s="11"/>
    </row>
    <row r="41" customFormat="false" ht="14.25" hidden="false" customHeight="true" outlineLevel="0" collapsed="false">
      <c r="A41" s="12"/>
      <c r="B41" s="11"/>
      <c r="C41" s="11"/>
      <c r="D41" s="11"/>
      <c r="E41" s="11"/>
      <c r="F41" s="11"/>
      <c r="G41" s="12"/>
      <c r="H41" s="11"/>
    </row>
    <row r="42" customFormat="false" ht="14.25" hidden="false" customHeight="true" outlineLevel="0" collapsed="false">
      <c r="A42" s="12"/>
      <c r="B42" s="11"/>
      <c r="C42" s="11"/>
      <c r="D42" s="11"/>
      <c r="E42" s="11"/>
      <c r="F42" s="11"/>
      <c r="G42" s="12"/>
      <c r="H42" s="11"/>
    </row>
    <row r="43" customFormat="false" ht="14.25" hidden="false" customHeight="true" outlineLevel="0" collapsed="false">
      <c r="A43" s="12"/>
      <c r="B43" s="11"/>
      <c r="C43" s="11"/>
      <c r="D43" s="11"/>
      <c r="E43" s="11"/>
      <c r="F43" s="11"/>
      <c r="G43" s="12"/>
      <c r="H43" s="11"/>
    </row>
    <row r="44" customFormat="false" ht="14.25" hidden="false" customHeight="true" outlineLevel="0" collapsed="false">
      <c r="A44" s="12"/>
      <c r="B44" s="11"/>
      <c r="C44" s="11"/>
      <c r="D44" s="11"/>
      <c r="E44" s="11"/>
      <c r="F44" s="11"/>
      <c r="G44" s="12"/>
      <c r="H44" s="11"/>
    </row>
    <row r="45" customFormat="false" ht="14.25" hidden="false" customHeight="true" outlineLevel="0" collapsed="false">
      <c r="A45" s="12"/>
      <c r="B45" s="11"/>
      <c r="C45" s="11"/>
      <c r="D45" s="11"/>
      <c r="E45" s="11"/>
      <c r="F45" s="11"/>
      <c r="G45" s="12"/>
      <c r="H45" s="11"/>
    </row>
    <row r="46" customFormat="false" ht="14.25" hidden="false" customHeight="true" outlineLevel="0" collapsed="false">
      <c r="A46" s="12"/>
      <c r="B46" s="11"/>
      <c r="C46" s="11"/>
      <c r="D46" s="11"/>
      <c r="E46" s="11"/>
      <c r="F46" s="11"/>
      <c r="G46" s="12"/>
      <c r="H46" s="11"/>
    </row>
    <row r="47" customFormat="false" ht="14.25" hidden="false" customHeight="true" outlineLevel="0" collapsed="false">
      <c r="A47" s="12"/>
      <c r="B47" s="11"/>
      <c r="C47" s="11"/>
      <c r="D47" s="11"/>
      <c r="E47" s="11"/>
      <c r="F47" s="11"/>
      <c r="G47" s="12"/>
      <c r="H47" s="11"/>
    </row>
    <row r="48" customFormat="false" ht="14.25" hidden="false" customHeight="true" outlineLevel="0" collapsed="false">
      <c r="A48" s="12"/>
      <c r="B48" s="11"/>
      <c r="C48" s="11"/>
      <c r="D48" s="11"/>
      <c r="E48" s="11"/>
      <c r="F48" s="11"/>
      <c r="G48" s="12"/>
      <c r="H48" s="11"/>
    </row>
    <row r="49" customFormat="false" ht="14.25" hidden="false" customHeight="true" outlineLevel="0" collapsed="false">
      <c r="A49" s="12"/>
      <c r="B49" s="11"/>
      <c r="C49" s="11"/>
      <c r="D49" s="11"/>
      <c r="E49" s="11"/>
      <c r="F49" s="11"/>
      <c r="G49" s="12"/>
      <c r="H49" s="11"/>
    </row>
    <row r="50" customFormat="false" ht="14.25" hidden="false" customHeight="true" outlineLevel="0" collapsed="false">
      <c r="A50" s="12"/>
      <c r="B50" s="11"/>
      <c r="C50" s="11"/>
      <c r="D50" s="11"/>
      <c r="E50" s="11"/>
      <c r="F50" s="11"/>
      <c r="G50" s="12"/>
      <c r="H50" s="11"/>
    </row>
    <row r="51" customFormat="false" ht="14.25" hidden="false" customHeight="true" outlineLevel="0" collapsed="false">
      <c r="A51" s="12"/>
      <c r="B51" s="11"/>
      <c r="C51" s="11"/>
      <c r="D51" s="11"/>
      <c r="E51" s="11"/>
      <c r="F51" s="11"/>
      <c r="G51" s="12"/>
      <c r="H51" s="11"/>
    </row>
    <row r="52" customFormat="false" ht="14.25" hidden="false" customHeight="true" outlineLevel="0" collapsed="false">
      <c r="A52" s="12"/>
      <c r="B52" s="11"/>
      <c r="C52" s="11"/>
      <c r="D52" s="11"/>
      <c r="E52" s="11"/>
      <c r="F52" s="11"/>
      <c r="G52" s="12"/>
      <c r="H52" s="11"/>
    </row>
    <row r="53" customFormat="false" ht="14.25" hidden="false" customHeight="true" outlineLevel="0" collapsed="false">
      <c r="A53" s="12"/>
      <c r="B53" s="11"/>
      <c r="C53" s="11"/>
      <c r="D53" s="11"/>
      <c r="E53" s="11"/>
      <c r="F53" s="11"/>
      <c r="G53" s="12"/>
      <c r="H53" s="11"/>
    </row>
    <row r="54" customFormat="false" ht="14.25" hidden="false" customHeight="true" outlineLevel="0" collapsed="false">
      <c r="A54" s="12"/>
      <c r="B54" s="11"/>
      <c r="C54" s="11"/>
      <c r="D54" s="11"/>
      <c r="E54" s="11"/>
      <c r="F54" s="11"/>
      <c r="G54" s="12"/>
      <c r="H54" s="11"/>
    </row>
    <row r="55" customFormat="false" ht="14.25" hidden="false" customHeight="true" outlineLevel="0" collapsed="false">
      <c r="A55" s="12"/>
      <c r="B55" s="11"/>
      <c r="C55" s="11"/>
      <c r="D55" s="11"/>
      <c r="E55" s="11"/>
      <c r="F55" s="11"/>
      <c r="G55" s="12"/>
      <c r="H55" s="11"/>
    </row>
    <row r="56" customFormat="false" ht="14.25" hidden="false" customHeight="true" outlineLevel="0" collapsed="false">
      <c r="A56" s="12"/>
      <c r="B56" s="11"/>
      <c r="C56" s="11"/>
      <c r="D56" s="11"/>
      <c r="E56" s="11"/>
      <c r="F56" s="11"/>
      <c r="G56" s="12"/>
      <c r="H56" s="11"/>
    </row>
    <row r="57" customFormat="false" ht="14.25" hidden="false" customHeight="true" outlineLevel="0" collapsed="false">
      <c r="A57" s="12"/>
      <c r="B57" s="11"/>
      <c r="C57" s="11"/>
      <c r="D57" s="11"/>
      <c r="E57" s="11"/>
      <c r="F57" s="11"/>
      <c r="G57" s="12"/>
      <c r="H57" s="11"/>
    </row>
    <row r="58" customFormat="false" ht="14.25" hidden="false" customHeight="true" outlineLevel="0" collapsed="false">
      <c r="A58" s="12"/>
      <c r="B58" s="11"/>
      <c r="C58" s="11"/>
      <c r="D58" s="11"/>
      <c r="E58" s="11"/>
      <c r="F58" s="11"/>
      <c r="G58" s="12"/>
      <c r="H58" s="11"/>
    </row>
    <row r="59" customFormat="false" ht="14.25" hidden="false" customHeight="true" outlineLevel="0" collapsed="false">
      <c r="A59" s="12"/>
      <c r="B59" s="11"/>
      <c r="C59" s="11"/>
      <c r="D59" s="11"/>
      <c r="E59" s="11"/>
      <c r="F59" s="11"/>
      <c r="G59" s="12"/>
      <c r="H59" s="11"/>
    </row>
    <row r="60" customFormat="false" ht="14.25" hidden="false" customHeight="true" outlineLevel="0" collapsed="false">
      <c r="A60" s="12"/>
      <c r="B60" s="11"/>
      <c r="C60" s="11"/>
      <c r="D60" s="11"/>
      <c r="E60" s="11"/>
      <c r="F60" s="11"/>
      <c r="G60" s="12"/>
      <c r="H60" s="11"/>
    </row>
    <row r="61" customFormat="false" ht="14.25" hidden="false" customHeight="true" outlineLevel="0" collapsed="false">
      <c r="A61" s="12"/>
      <c r="B61" s="11"/>
      <c r="C61" s="11"/>
      <c r="D61" s="11"/>
      <c r="E61" s="11"/>
      <c r="F61" s="11"/>
      <c r="G61" s="12"/>
      <c r="H61" s="11"/>
    </row>
    <row r="62" customFormat="false" ht="14.25" hidden="false" customHeight="true" outlineLevel="0" collapsed="false">
      <c r="A62" s="12"/>
      <c r="B62" s="11"/>
      <c r="C62" s="11"/>
      <c r="D62" s="11"/>
      <c r="E62" s="11"/>
      <c r="F62" s="11"/>
      <c r="G62" s="12"/>
      <c r="H62" s="11"/>
    </row>
    <row r="63" customFormat="false" ht="14.25" hidden="false" customHeight="true" outlineLevel="0" collapsed="false">
      <c r="A63" s="12"/>
      <c r="B63" s="11"/>
      <c r="C63" s="11"/>
      <c r="D63" s="11"/>
      <c r="E63" s="11"/>
      <c r="F63" s="11"/>
      <c r="G63" s="12"/>
      <c r="H63" s="11"/>
    </row>
    <row r="64" customFormat="false" ht="14.25" hidden="false" customHeight="true" outlineLevel="0" collapsed="false">
      <c r="A64" s="12"/>
      <c r="B64" s="11"/>
      <c r="C64" s="11"/>
      <c r="D64" s="11"/>
      <c r="E64" s="11"/>
      <c r="F64" s="11"/>
      <c r="G64" s="12"/>
      <c r="H64" s="11"/>
    </row>
    <row r="65" customFormat="false" ht="14.25" hidden="false" customHeight="true" outlineLevel="0" collapsed="false">
      <c r="A65" s="12"/>
      <c r="B65" s="11"/>
      <c r="C65" s="11"/>
      <c r="D65" s="11"/>
      <c r="E65" s="11"/>
      <c r="F65" s="11"/>
      <c r="G65" s="12"/>
      <c r="H65" s="11"/>
    </row>
    <row r="66" customFormat="false" ht="14.25" hidden="false" customHeight="true" outlineLevel="0" collapsed="false">
      <c r="A66" s="12"/>
      <c r="B66" s="11"/>
      <c r="C66" s="11"/>
      <c r="D66" s="11"/>
      <c r="E66" s="11"/>
      <c r="F66" s="11"/>
      <c r="G66" s="12"/>
      <c r="H66" s="11"/>
    </row>
    <row r="67" customFormat="false" ht="14.25" hidden="false" customHeight="true" outlineLevel="0" collapsed="false">
      <c r="A67" s="12"/>
      <c r="B67" s="11"/>
      <c r="C67" s="11"/>
      <c r="D67" s="11"/>
      <c r="E67" s="11"/>
      <c r="F67" s="11"/>
      <c r="G67" s="12"/>
      <c r="H67" s="11"/>
    </row>
    <row r="68" customFormat="false" ht="14.25" hidden="false" customHeight="true" outlineLevel="0" collapsed="false">
      <c r="A68" s="12"/>
      <c r="B68" s="11"/>
      <c r="C68" s="11"/>
      <c r="D68" s="11"/>
      <c r="E68" s="11"/>
      <c r="F68" s="11"/>
      <c r="G68" s="12"/>
      <c r="H68" s="11"/>
    </row>
    <row r="69" customFormat="false" ht="14.25" hidden="false" customHeight="true" outlineLevel="0" collapsed="false">
      <c r="A69" s="12"/>
      <c r="B69" s="11"/>
      <c r="C69" s="11"/>
      <c r="D69" s="11"/>
      <c r="E69" s="11"/>
      <c r="F69" s="11"/>
      <c r="G69" s="12"/>
      <c r="H69" s="11"/>
    </row>
    <row r="70" customFormat="false" ht="14.25" hidden="false" customHeight="true" outlineLevel="0" collapsed="false">
      <c r="A70" s="12"/>
      <c r="B70" s="11"/>
      <c r="C70" s="11"/>
      <c r="D70" s="11"/>
      <c r="E70" s="11"/>
      <c r="F70" s="11"/>
      <c r="G70" s="12"/>
      <c r="H70" s="11"/>
    </row>
    <row r="71" customFormat="false" ht="14.25" hidden="false" customHeight="true" outlineLevel="0" collapsed="false">
      <c r="A71" s="12"/>
      <c r="B71" s="11"/>
      <c r="C71" s="11"/>
      <c r="D71" s="11"/>
      <c r="E71" s="11"/>
      <c r="F71" s="11"/>
      <c r="G71" s="12"/>
      <c r="H71" s="11"/>
    </row>
    <row r="72" customFormat="false" ht="14.25" hidden="false" customHeight="true" outlineLevel="0" collapsed="false">
      <c r="A72" s="12"/>
      <c r="B72" s="11"/>
      <c r="C72" s="11"/>
      <c r="D72" s="11"/>
      <c r="E72" s="11"/>
      <c r="F72" s="11"/>
      <c r="G72" s="12"/>
      <c r="H72" s="11"/>
    </row>
    <row r="73" customFormat="false" ht="14.25" hidden="false" customHeight="true" outlineLevel="0" collapsed="false">
      <c r="A73" s="12"/>
      <c r="B73" s="11"/>
      <c r="C73" s="11"/>
      <c r="D73" s="11"/>
      <c r="E73" s="11"/>
      <c r="F73" s="11"/>
      <c r="G73" s="12"/>
      <c r="H73" s="11"/>
    </row>
    <row r="74" customFormat="false" ht="14.25" hidden="false" customHeight="true" outlineLevel="0" collapsed="false">
      <c r="A74" s="12"/>
      <c r="B74" s="11"/>
      <c r="C74" s="11"/>
      <c r="D74" s="11"/>
      <c r="E74" s="11"/>
      <c r="F74" s="11"/>
      <c r="G74" s="12"/>
      <c r="H74" s="11"/>
    </row>
    <row r="75" customFormat="false" ht="14.25" hidden="false" customHeight="true" outlineLevel="0" collapsed="false">
      <c r="A75" s="12"/>
      <c r="B75" s="11"/>
      <c r="C75" s="11"/>
      <c r="D75" s="11"/>
      <c r="E75" s="11"/>
      <c r="F75" s="11"/>
      <c r="G75" s="12"/>
      <c r="H75" s="11"/>
    </row>
    <row r="76" customFormat="false" ht="14.25" hidden="false" customHeight="true" outlineLevel="0" collapsed="false">
      <c r="A76" s="12"/>
      <c r="B76" s="11"/>
      <c r="C76" s="11"/>
      <c r="D76" s="11"/>
      <c r="E76" s="11"/>
      <c r="F76" s="11"/>
      <c r="G76" s="12"/>
      <c r="H76" s="11"/>
    </row>
    <row r="77" customFormat="false" ht="14.25" hidden="false" customHeight="true" outlineLevel="0" collapsed="false">
      <c r="A77" s="12"/>
      <c r="B77" s="11"/>
      <c r="C77" s="11"/>
      <c r="D77" s="11"/>
      <c r="E77" s="11"/>
      <c r="F77" s="11"/>
      <c r="G77" s="12"/>
      <c r="H77" s="11"/>
    </row>
    <row r="78" customFormat="false" ht="14.25" hidden="false" customHeight="true" outlineLevel="0" collapsed="false">
      <c r="A78" s="12"/>
      <c r="B78" s="11"/>
      <c r="C78" s="11"/>
      <c r="D78" s="11"/>
      <c r="E78" s="11"/>
      <c r="F78" s="11"/>
      <c r="G78" s="12"/>
      <c r="H78" s="11"/>
    </row>
    <row r="79" customFormat="false" ht="14.25" hidden="false" customHeight="true" outlineLevel="0" collapsed="false">
      <c r="A79" s="12"/>
      <c r="B79" s="11"/>
      <c r="C79" s="11"/>
      <c r="D79" s="11"/>
      <c r="E79" s="11"/>
      <c r="F79" s="11"/>
      <c r="G79" s="12"/>
      <c r="H79" s="11"/>
    </row>
    <row r="80" customFormat="false" ht="14.25" hidden="false" customHeight="true" outlineLevel="0" collapsed="false">
      <c r="A80" s="12"/>
      <c r="B80" s="11"/>
      <c r="C80" s="11"/>
      <c r="D80" s="11"/>
      <c r="E80" s="11"/>
      <c r="F80" s="11"/>
      <c r="G80" s="12"/>
      <c r="H80" s="11"/>
    </row>
    <row r="81" customFormat="false" ht="14.25" hidden="false" customHeight="true" outlineLevel="0" collapsed="false">
      <c r="A81" s="12"/>
      <c r="B81" s="11"/>
      <c r="C81" s="11"/>
      <c r="D81" s="11"/>
      <c r="E81" s="11"/>
      <c r="F81" s="11"/>
      <c r="G81" s="12"/>
      <c r="H81" s="11"/>
    </row>
    <row r="82" customFormat="false" ht="14.25" hidden="false" customHeight="true" outlineLevel="0" collapsed="false">
      <c r="A82" s="12"/>
      <c r="B82" s="11"/>
      <c r="C82" s="11"/>
      <c r="D82" s="11"/>
      <c r="E82" s="11"/>
      <c r="F82" s="11"/>
      <c r="G82" s="12"/>
      <c r="H82" s="11"/>
    </row>
    <row r="83" customFormat="false" ht="14.25" hidden="false" customHeight="true" outlineLevel="0" collapsed="false">
      <c r="A83" s="12"/>
      <c r="B83" s="11"/>
      <c r="C83" s="11"/>
      <c r="D83" s="11"/>
      <c r="E83" s="11"/>
      <c r="F83" s="11"/>
      <c r="G83" s="12"/>
      <c r="H83" s="11"/>
    </row>
    <row r="84" customFormat="false" ht="14.25" hidden="false" customHeight="true" outlineLevel="0" collapsed="false">
      <c r="A84" s="12"/>
      <c r="B84" s="11"/>
      <c r="C84" s="11"/>
      <c r="D84" s="11"/>
      <c r="E84" s="11"/>
      <c r="F84" s="11"/>
      <c r="G84" s="12"/>
      <c r="H84" s="11"/>
    </row>
    <row r="85" customFormat="false" ht="14.25" hidden="false" customHeight="true" outlineLevel="0" collapsed="false">
      <c r="A85" s="12"/>
      <c r="B85" s="11"/>
      <c r="C85" s="11"/>
      <c r="D85" s="11"/>
      <c r="E85" s="11"/>
      <c r="F85" s="11"/>
      <c r="G85" s="12"/>
      <c r="H85" s="11"/>
    </row>
    <row r="86" customFormat="false" ht="14.25" hidden="false" customHeight="true" outlineLevel="0" collapsed="false">
      <c r="A86" s="12"/>
      <c r="B86" s="11"/>
      <c r="C86" s="11"/>
      <c r="D86" s="11"/>
      <c r="E86" s="11"/>
      <c r="F86" s="11"/>
      <c r="G86" s="12"/>
      <c r="H86" s="11"/>
    </row>
    <row r="87" customFormat="false" ht="14.25" hidden="false" customHeight="true" outlineLevel="0" collapsed="false">
      <c r="A87" s="12"/>
      <c r="B87" s="11"/>
      <c r="C87" s="11"/>
      <c r="D87" s="11"/>
      <c r="E87" s="11"/>
      <c r="F87" s="11"/>
      <c r="G87" s="12"/>
      <c r="H87" s="11"/>
    </row>
    <row r="88" customFormat="false" ht="14.25" hidden="false" customHeight="true" outlineLevel="0" collapsed="false">
      <c r="A88" s="12"/>
      <c r="B88" s="11"/>
      <c r="C88" s="11"/>
      <c r="D88" s="11"/>
      <c r="E88" s="11"/>
      <c r="F88" s="11"/>
      <c r="G88" s="12"/>
      <c r="H88" s="11"/>
    </row>
    <row r="89" customFormat="false" ht="14.25" hidden="false" customHeight="true" outlineLevel="0" collapsed="false">
      <c r="A89" s="12"/>
      <c r="B89" s="11"/>
      <c r="C89" s="11"/>
      <c r="D89" s="11"/>
      <c r="E89" s="11"/>
      <c r="F89" s="11"/>
      <c r="G89" s="12"/>
      <c r="H89" s="11"/>
    </row>
    <row r="90" customFormat="false" ht="14.25" hidden="false" customHeight="true" outlineLevel="0" collapsed="false">
      <c r="A90" s="12"/>
      <c r="B90" s="11"/>
      <c r="C90" s="11"/>
      <c r="D90" s="11"/>
      <c r="E90" s="11"/>
      <c r="F90" s="11"/>
      <c r="G90" s="12"/>
      <c r="H90" s="11"/>
    </row>
    <row r="91" customFormat="false" ht="14.25" hidden="false" customHeight="true" outlineLevel="0" collapsed="false">
      <c r="A91" s="12"/>
      <c r="B91" s="11"/>
      <c r="C91" s="11"/>
      <c r="D91" s="11"/>
      <c r="E91" s="11"/>
      <c r="F91" s="11"/>
      <c r="G91" s="12"/>
      <c r="H91" s="11"/>
    </row>
    <row r="92" customFormat="false" ht="14.25" hidden="false" customHeight="true" outlineLevel="0" collapsed="false">
      <c r="A92" s="12"/>
      <c r="B92" s="11"/>
      <c r="C92" s="11"/>
      <c r="D92" s="11"/>
      <c r="E92" s="11"/>
      <c r="F92" s="11"/>
      <c r="G92" s="12"/>
      <c r="H92" s="11"/>
    </row>
    <row r="93" customFormat="false" ht="14.25" hidden="false" customHeight="true" outlineLevel="0" collapsed="false">
      <c r="A93" s="12"/>
      <c r="B93" s="11"/>
      <c r="C93" s="11"/>
      <c r="D93" s="11"/>
      <c r="E93" s="11"/>
      <c r="F93" s="11"/>
      <c r="G93" s="12"/>
      <c r="H93" s="11"/>
    </row>
    <row r="94" customFormat="false" ht="14.25" hidden="false" customHeight="true" outlineLevel="0" collapsed="false">
      <c r="A94" s="12"/>
      <c r="B94" s="11"/>
      <c r="C94" s="11"/>
      <c r="D94" s="11"/>
      <c r="E94" s="11"/>
      <c r="F94" s="11"/>
      <c r="G94" s="12"/>
      <c r="H94" s="11"/>
    </row>
    <row r="95" customFormat="false" ht="14.25" hidden="false" customHeight="true" outlineLevel="0" collapsed="false">
      <c r="A95" s="12"/>
      <c r="B95" s="11"/>
      <c r="C95" s="11"/>
      <c r="D95" s="11"/>
      <c r="E95" s="11"/>
      <c r="F95" s="11"/>
      <c r="G95" s="12"/>
      <c r="H95" s="11"/>
    </row>
    <row r="96" customFormat="false" ht="14.25" hidden="false" customHeight="true" outlineLevel="0" collapsed="false">
      <c r="A96" s="12"/>
      <c r="B96" s="11"/>
      <c r="C96" s="11"/>
      <c r="D96" s="11"/>
      <c r="E96" s="11"/>
      <c r="F96" s="11"/>
      <c r="G96" s="12"/>
      <c r="H96" s="11"/>
    </row>
    <row r="97" customFormat="false" ht="14.25" hidden="false" customHeight="true" outlineLevel="0" collapsed="false">
      <c r="A97" s="12"/>
      <c r="B97" s="11"/>
      <c r="C97" s="11"/>
      <c r="D97" s="11"/>
      <c r="E97" s="11"/>
      <c r="F97" s="11"/>
      <c r="G97" s="12"/>
      <c r="H97" s="11"/>
    </row>
    <row r="98" customFormat="false" ht="14.25" hidden="false" customHeight="true" outlineLevel="0" collapsed="false">
      <c r="A98" s="12"/>
      <c r="B98" s="11"/>
      <c r="C98" s="11"/>
      <c r="D98" s="11"/>
      <c r="E98" s="11"/>
      <c r="F98" s="11"/>
      <c r="G98" s="12"/>
      <c r="H98" s="11"/>
    </row>
    <row r="99" customFormat="false" ht="14.25" hidden="false" customHeight="true" outlineLevel="0" collapsed="false">
      <c r="A99" s="12"/>
      <c r="B99" s="11"/>
      <c r="C99" s="11"/>
      <c r="D99" s="11"/>
      <c r="E99" s="11"/>
      <c r="F99" s="11"/>
      <c r="G99" s="12"/>
      <c r="H99" s="11"/>
    </row>
    <row r="100" customFormat="false" ht="14.25" hidden="false" customHeight="true" outlineLevel="0" collapsed="false">
      <c r="A100" s="12"/>
      <c r="B100" s="11"/>
      <c r="C100" s="11"/>
      <c r="D100" s="11"/>
      <c r="E100" s="11"/>
      <c r="F100" s="11"/>
      <c r="G100" s="12"/>
      <c r="H100" s="11"/>
    </row>
    <row r="101" customFormat="false" ht="14.25" hidden="false" customHeight="true" outlineLevel="0" collapsed="false">
      <c r="A101" s="12"/>
      <c r="B101" s="11"/>
      <c r="C101" s="11"/>
      <c r="D101" s="11"/>
      <c r="E101" s="11"/>
      <c r="F101" s="11"/>
      <c r="G101" s="12"/>
      <c r="H101" s="11"/>
    </row>
  </sheetData>
  <mergeCells count="1">
    <mergeCell ref="A1:H1"/>
  </mergeCells>
  <conditionalFormatting sqref="H3:H101">
    <cfRule type="expression" priority="2" aboveAverage="0" equalAverage="0" bottom="0" percent="0" rank="0" text="" dxfId="6">
      <formula>H3="Resolved"</formula>
    </cfRule>
    <cfRule type="expression" priority="3" aboveAverage="0" equalAverage="0" bottom="0" percent="0" rank="0" text="" dxfId="7">
      <formula>H3="In Progress"</formula>
    </cfRule>
    <cfRule type="expression" priority="4" aboveAverage="0" equalAverage="0" bottom="0" percent="0" rank="0" text="" dxfId="9">
      <formula>H3="Escalated"</formula>
    </cfRule>
  </conditionalFormatting>
  <dataValidations count="2">
    <dataValidation allowBlank="false" errorStyle="stop" operator="between" showDropDown="false" showErrorMessage="false" showInputMessage="false" sqref="B3:B101" type="list">
      <formula1>"Unit 1 / Phase 1,Phase 2,Phase 3,Final"</formula1>
      <formula2>0</formula2>
    </dataValidation>
    <dataValidation allowBlank="false" errorStyle="stop" operator="between" showDropDown="false" showErrorMessage="false" showInputMessage="false" sqref="H3:H101" type="list">
      <formula1>"Open,In Progress,Resolved,Escalated"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9.00390625" defaultRowHeight="14.25" zeroHeight="false" outlineLevelRow="0" outlineLevelCol="0"/>
  <cols>
    <col collapsed="false" customWidth="true" hidden="false" outlineLevel="0" max="1" min="1" style="1" width="34"/>
    <col collapsed="false" customWidth="true" hidden="false" outlineLevel="0" max="2" min="2" style="1" width="58"/>
    <col collapsed="false" customWidth="true" hidden="false" outlineLevel="0" max="3" min="3" style="1" width="3"/>
    <col collapsed="false" customWidth="true" hidden="false" outlineLevel="0" max="4" min="4" style="1" width="40"/>
    <col collapsed="false" customWidth="true" hidden="false" outlineLevel="0" max="5" min="5" style="1" width="12"/>
    <col collapsed="false" customWidth="true" hidden="false" outlineLevel="0" max="6" min="6" style="1" width="3"/>
  </cols>
  <sheetData>
    <row r="1" customFormat="false" ht="19.5" hidden="false" customHeight="true" outlineLevel="0" collapsed="false">
      <c r="A1" s="2" t="s">
        <v>290</v>
      </c>
      <c r="B1" s="2"/>
      <c r="C1" s="2"/>
      <c r="D1" s="2"/>
      <c r="E1" s="2"/>
      <c r="F1" s="2"/>
    </row>
    <row r="3" customFormat="false" ht="14.25" hidden="false" customHeight="true" outlineLevel="0" collapsed="false">
      <c r="A3" s="4" t="s">
        <v>291</v>
      </c>
      <c r="B3" s="4" t="s">
        <v>42</v>
      </c>
      <c r="D3" s="20" t="s">
        <v>292</v>
      </c>
      <c r="E3" s="20"/>
      <c r="F3" s="20"/>
    </row>
    <row r="4" customFormat="false" ht="14.25" hidden="false" customHeight="true" outlineLevel="0" collapsed="false">
      <c r="A4" s="6" t="s">
        <v>57</v>
      </c>
      <c r="B4" s="8" t="s">
        <v>32</v>
      </c>
      <c r="D4" s="6" t="s">
        <v>293</v>
      </c>
      <c r="E4" s="21" t="s">
        <v>100</v>
      </c>
    </row>
    <row r="5" customFormat="false" ht="14.25" hidden="false" customHeight="true" outlineLevel="0" collapsed="false">
      <c r="A5" s="6" t="s">
        <v>59</v>
      </c>
      <c r="B5" s="8" t="s">
        <v>60</v>
      </c>
      <c r="D5" s="6" t="s">
        <v>294</v>
      </c>
      <c r="E5" s="21" t="s">
        <v>100</v>
      </c>
    </row>
    <row r="6" customFormat="false" ht="14.25" hidden="false" customHeight="true" outlineLevel="0" collapsed="false">
      <c r="A6" s="6" t="s">
        <v>295</v>
      </c>
      <c r="B6" s="8" t="s">
        <v>47</v>
      </c>
      <c r="D6" s="6" t="s">
        <v>296</v>
      </c>
      <c r="E6" s="21" t="s">
        <v>100</v>
      </c>
    </row>
    <row r="7" customFormat="false" ht="39.75" hidden="false" customHeight="true" outlineLevel="0" collapsed="false">
      <c r="A7" s="6" t="s">
        <v>297</v>
      </c>
      <c r="B7" s="8" t="s">
        <v>298</v>
      </c>
      <c r="D7" s="6" t="s">
        <v>299</v>
      </c>
      <c r="E7" s="21" t="s">
        <v>100</v>
      </c>
    </row>
    <row r="8" customFormat="false" ht="39.75" hidden="false" customHeight="true" outlineLevel="0" collapsed="false">
      <c r="A8" s="6" t="s">
        <v>300</v>
      </c>
      <c r="B8" s="8" t="s">
        <v>301</v>
      </c>
      <c r="D8" s="6" t="s">
        <v>302</v>
      </c>
      <c r="E8" s="21" t="s">
        <v>100</v>
      </c>
    </row>
    <row r="9" customFormat="false" ht="39.75" hidden="false" customHeight="true" outlineLevel="0" collapsed="false">
      <c r="A9" s="6" t="s">
        <v>303</v>
      </c>
      <c r="B9" s="8" t="s">
        <v>304</v>
      </c>
      <c r="D9" s="6" t="s">
        <v>305</v>
      </c>
      <c r="E9" s="21" t="s">
        <v>100</v>
      </c>
    </row>
    <row r="10" customFormat="false" ht="39.75" hidden="false" customHeight="true" outlineLevel="0" collapsed="false">
      <c r="A10" s="6" t="s">
        <v>306</v>
      </c>
      <c r="B10" s="8" t="s">
        <v>307</v>
      </c>
      <c r="D10" s="6" t="s">
        <v>308</v>
      </c>
      <c r="E10" s="21" t="s">
        <v>100</v>
      </c>
    </row>
    <row r="11" customFormat="false" ht="39.75" hidden="false" customHeight="true" outlineLevel="0" collapsed="false">
      <c r="A11" s="6" t="s">
        <v>309</v>
      </c>
      <c r="B11" s="8" t="s">
        <v>310</v>
      </c>
      <c r="D11" s="6" t="s">
        <v>311</v>
      </c>
      <c r="E11" s="21" t="s">
        <v>100</v>
      </c>
    </row>
    <row r="12" customFormat="false" ht="39.75" hidden="false" customHeight="true" outlineLevel="0" collapsed="false">
      <c r="A12" s="6" t="s">
        <v>312</v>
      </c>
      <c r="B12" s="8" t="s">
        <v>313</v>
      </c>
      <c r="D12" s="6" t="s">
        <v>314</v>
      </c>
      <c r="E12" s="21" t="s">
        <v>100</v>
      </c>
    </row>
    <row r="13" customFormat="false" ht="39.75" hidden="false" customHeight="true" outlineLevel="0" collapsed="false">
      <c r="A13" s="6" t="s">
        <v>315</v>
      </c>
      <c r="B13" s="8" t="s">
        <v>316</v>
      </c>
    </row>
    <row r="16" customFormat="false" ht="14.25" hidden="false" customHeight="true" outlineLevel="0" collapsed="false">
      <c r="A16" s="4" t="s">
        <v>317</v>
      </c>
    </row>
    <row r="17" customFormat="false" ht="27.75" hidden="false" customHeight="true" outlineLevel="0" collapsed="false">
      <c r="A17" s="6" t="s">
        <v>57</v>
      </c>
      <c r="B17" s="8" t="s">
        <v>76</v>
      </c>
      <c r="D17" s="6" t="s">
        <v>318</v>
      </c>
      <c r="E17" s="21" t="s">
        <v>100</v>
      </c>
    </row>
    <row r="18" customFormat="false" ht="27.75" hidden="false" customHeight="true" outlineLevel="0" collapsed="false">
      <c r="A18" s="6" t="s">
        <v>59</v>
      </c>
      <c r="B18" s="8" t="s">
        <v>77</v>
      </c>
      <c r="D18" s="6" t="s">
        <v>319</v>
      </c>
      <c r="E18" s="21" t="s">
        <v>100</v>
      </c>
    </row>
    <row r="19" customFormat="false" ht="14.25" hidden="false" customHeight="true" outlineLevel="0" collapsed="false">
      <c r="A19" s="6" t="s">
        <v>295</v>
      </c>
      <c r="B19" s="8" t="s">
        <v>47</v>
      </c>
      <c r="D19" s="6" t="s">
        <v>320</v>
      </c>
      <c r="E19" s="21" t="s">
        <v>100</v>
      </c>
    </row>
    <row r="20" customFormat="false" ht="41.25" hidden="false" customHeight="true" outlineLevel="0" collapsed="false">
      <c r="A20" s="6" t="s">
        <v>297</v>
      </c>
      <c r="B20" s="8" t="s">
        <v>321</v>
      </c>
      <c r="D20" s="6" t="s">
        <v>322</v>
      </c>
      <c r="E20" s="21" t="s">
        <v>100</v>
      </c>
    </row>
    <row r="21" customFormat="false" ht="14.25" hidden="false" customHeight="true" outlineLevel="0" collapsed="false">
      <c r="A21" s="6" t="s">
        <v>300</v>
      </c>
      <c r="B21" s="8" t="s">
        <v>301</v>
      </c>
      <c r="D21" s="6" t="s">
        <v>323</v>
      </c>
      <c r="E21" s="21" t="s">
        <v>100</v>
      </c>
    </row>
    <row r="22" customFormat="false" ht="14.25" hidden="false" customHeight="true" outlineLevel="0" collapsed="false">
      <c r="A22" s="6" t="s">
        <v>303</v>
      </c>
      <c r="B22" s="8" t="s">
        <v>304</v>
      </c>
      <c r="D22" s="6" t="s">
        <v>324</v>
      </c>
      <c r="E22" s="21" t="s">
        <v>100</v>
      </c>
    </row>
    <row r="23" customFormat="false" ht="27.75" hidden="false" customHeight="true" outlineLevel="0" collapsed="false">
      <c r="A23" s="6" t="s">
        <v>325</v>
      </c>
      <c r="B23" s="8" t="s">
        <v>326</v>
      </c>
      <c r="D23" s="6" t="s">
        <v>327</v>
      </c>
      <c r="E23" s="21" t="s">
        <v>100</v>
      </c>
    </row>
    <row r="24" customFormat="false" ht="14.25" hidden="false" customHeight="true" outlineLevel="0" collapsed="false">
      <c r="A24" s="6" t="s">
        <v>309</v>
      </c>
      <c r="B24" s="8" t="s">
        <v>310</v>
      </c>
      <c r="D24" s="6" t="s">
        <v>328</v>
      </c>
      <c r="E24" s="21" t="s">
        <v>100</v>
      </c>
    </row>
    <row r="25" customFormat="false" ht="27.75" hidden="false" customHeight="true" outlineLevel="0" collapsed="false">
      <c r="A25" s="6" t="s">
        <v>312</v>
      </c>
      <c r="B25" s="8" t="s">
        <v>329</v>
      </c>
      <c r="D25" s="6" t="s">
        <v>308</v>
      </c>
      <c r="E25" s="21" t="s">
        <v>100</v>
      </c>
    </row>
    <row r="26" customFormat="false" ht="27.75" hidden="false" customHeight="true" outlineLevel="0" collapsed="false">
      <c r="A26" s="6" t="s">
        <v>315</v>
      </c>
      <c r="B26" s="8" t="s">
        <v>330</v>
      </c>
      <c r="D26" s="6" t="s">
        <v>311</v>
      </c>
      <c r="E26" s="21" t="s">
        <v>100</v>
      </c>
    </row>
    <row r="27" customFormat="false" ht="14.25" hidden="false" customHeight="true" outlineLevel="0" collapsed="false">
      <c r="D27" s="6" t="s">
        <v>331</v>
      </c>
      <c r="E27" s="21" t="s">
        <v>100</v>
      </c>
    </row>
  </sheetData>
  <mergeCells count="2">
    <mergeCell ref="A1:F1"/>
    <mergeCell ref="D3:F3"/>
  </mergeCells>
  <conditionalFormatting sqref="E4:E12">
    <cfRule type="expression" priority="2" aboveAverage="0" equalAverage="0" bottom="0" percent="0" rank="0" text="" dxfId="6">
      <formula>E4="Yes"</formula>
    </cfRule>
    <cfRule type="expression" priority="3" aboveAverage="0" equalAverage="0" bottom="0" percent="0" rank="0" text="" dxfId="9">
      <formula>E4="No"</formula>
    </cfRule>
  </conditionalFormatting>
  <conditionalFormatting sqref="E17:E27">
    <cfRule type="cellIs" priority="4" operator="equal" aboveAverage="0" equalAverage="0" bottom="0" percent="0" rank="0" text="" dxfId="6">
      <formula>"Yes"</formula>
    </cfRule>
    <cfRule type="cellIs" priority="5" operator="equal" aboveAverage="0" equalAverage="0" bottom="0" percent="0" rank="0" text="" dxfId="9">
      <formula>"No"</formula>
    </cfRule>
  </conditionalFormatting>
  <dataValidations count="3">
    <dataValidation allowBlank="false" errorStyle="stop" operator="between" showDropDown="false" showErrorMessage="false" showInputMessage="false" sqref="B4" type="list">
      <formula1>"Unit 1 / Phase 1,Phase 2,Phase 3,Final"</formula1>
      <formula2>0</formula2>
    </dataValidation>
    <dataValidation allowBlank="false" errorStyle="stop" operator="between" showDropDown="false" showErrorMessage="false" showInputMessage="false" sqref="B6" type="list">
      <formula1>"Not Started,In Progress,Completed,Delayed,Blocked"</formula1>
      <formula2>0</formula2>
    </dataValidation>
    <dataValidation allowBlank="false" errorStyle="stop" operator="between" showDropDown="false" showErrorMessage="false" showInputMessage="false" sqref="E4:E12"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18" activeCellId="0" sqref="O18"/>
    </sheetView>
  </sheetViews>
  <sheetFormatPr defaultColWidth="9.00390625" defaultRowHeight="14.25" zeroHeight="false" outlineLevelRow="0" outlineLevelCol="0"/>
  <cols>
    <col collapsed="false" customWidth="true" hidden="false" outlineLevel="0" max="1" min="1" style="1" width="13"/>
    <col collapsed="false" customWidth="true" hidden="false" outlineLevel="0" max="2" min="2" style="1" width="19"/>
    <col collapsed="false" customWidth="true" hidden="false" outlineLevel="0" max="3" min="3" style="1" width="18"/>
    <col collapsed="false" customWidth="true" hidden="false" outlineLevel="0" max="6" min="4" style="1" width="28"/>
    <col collapsed="false" customWidth="true" hidden="false" outlineLevel="0" max="7" min="7" style="1" width="42"/>
    <col collapsed="false" customWidth="true" hidden="false" outlineLevel="0" max="8" min="8" style="1" width="32"/>
    <col collapsed="false" customWidth="true" hidden="false" outlineLevel="0" max="9" min="9" style="1" width="34"/>
  </cols>
  <sheetData>
    <row r="1" customFormat="false" ht="19.5" hidden="false" customHeight="true" outlineLevel="0" collapsed="false">
      <c r="A1" s="2" t="s">
        <v>332</v>
      </c>
      <c r="B1" s="2"/>
      <c r="C1" s="2"/>
      <c r="D1" s="2"/>
      <c r="E1" s="2"/>
      <c r="F1" s="2"/>
      <c r="G1" s="2"/>
      <c r="H1" s="2"/>
      <c r="I1" s="2"/>
    </row>
    <row r="2" customFormat="false" ht="27.75" hidden="false" customHeight="true" outlineLevel="0" collapsed="false">
      <c r="A2" s="4" t="s">
        <v>333</v>
      </c>
      <c r="B2" s="4" t="s">
        <v>83</v>
      </c>
      <c r="C2" s="4" t="s">
        <v>334</v>
      </c>
      <c r="D2" s="4" t="s">
        <v>3</v>
      </c>
      <c r="E2" s="4" t="s">
        <v>335</v>
      </c>
      <c r="F2" s="4" t="s">
        <v>336</v>
      </c>
      <c r="G2" s="4" t="s">
        <v>337</v>
      </c>
      <c r="H2" s="4" t="s">
        <v>338</v>
      </c>
      <c r="I2" s="4" t="s">
        <v>91</v>
      </c>
    </row>
    <row r="3" customFormat="false" ht="14.25" hidden="false" customHeight="true" outlineLevel="0" collapsed="false">
      <c r="A3" s="12"/>
      <c r="B3" s="14"/>
      <c r="C3" s="14"/>
      <c r="D3" s="11"/>
      <c r="E3" s="11"/>
      <c r="F3" s="11"/>
      <c r="G3" s="11"/>
      <c r="H3" s="11"/>
      <c r="I3" s="11"/>
    </row>
    <row r="4" customFormat="false" ht="28.5" hidden="false" customHeight="true" outlineLevel="0" collapsed="false">
      <c r="A4" s="12" t="n">
        <v>46252</v>
      </c>
      <c r="B4" s="14" t="s">
        <v>32</v>
      </c>
      <c r="C4" s="14" t="s">
        <v>339</v>
      </c>
      <c r="D4" s="11" t="s">
        <v>340</v>
      </c>
      <c r="E4" s="11" t="s">
        <v>341</v>
      </c>
      <c r="F4" s="11" t="s">
        <v>342</v>
      </c>
      <c r="G4" s="11" t="s">
        <v>343</v>
      </c>
      <c r="H4" s="11" t="s">
        <v>344</v>
      </c>
      <c r="I4" s="11" t="s">
        <v>345</v>
      </c>
    </row>
    <row r="5" customFormat="false" ht="28.5" hidden="false" customHeight="true" outlineLevel="0" collapsed="false">
      <c r="A5" s="12" t="n">
        <v>46260</v>
      </c>
      <c r="B5" s="14" t="s">
        <v>32</v>
      </c>
      <c r="C5" s="14" t="s">
        <v>346</v>
      </c>
      <c r="D5" s="11" t="s">
        <v>347</v>
      </c>
      <c r="E5" s="11" t="s">
        <v>341</v>
      </c>
      <c r="F5" s="11" t="s">
        <v>348</v>
      </c>
      <c r="G5" s="11" t="s">
        <v>349</v>
      </c>
      <c r="H5" s="11" t="s">
        <v>350</v>
      </c>
      <c r="I5" s="11" t="s">
        <v>351</v>
      </c>
    </row>
    <row r="6" customFormat="false" ht="14.25" hidden="false" customHeight="true" outlineLevel="0" collapsed="false">
      <c r="A6" s="12"/>
      <c r="B6" s="14"/>
      <c r="C6" s="14"/>
      <c r="D6" s="11"/>
      <c r="E6" s="11"/>
      <c r="F6" s="11"/>
      <c r="G6" s="11"/>
      <c r="H6" s="11"/>
      <c r="I6" s="11"/>
    </row>
    <row r="7" customFormat="false" ht="14.25" hidden="false" customHeight="true" outlineLevel="0" collapsed="false">
      <c r="A7" s="12"/>
      <c r="B7" s="14"/>
      <c r="C7" s="14"/>
      <c r="D7" s="11"/>
      <c r="E7" s="11"/>
      <c r="F7" s="11"/>
      <c r="G7" s="11"/>
      <c r="H7" s="11"/>
      <c r="I7" s="11"/>
    </row>
    <row r="8" customFormat="false" ht="14.25" hidden="false" customHeight="true" outlineLevel="0" collapsed="false">
      <c r="A8" s="12"/>
      <c r="B8" s="14"/>
      <c r="C8" s="14"/>
      <c r="D8" s="11"/>
      <c r="E8" s="11"/>
      <c r="F8" s="11"/>
      <c r="G8" s="11"/>
      <c r="H8" s="11"/>
      <c r="I8" s="11"/>
    </row>
    <row r="9" customFormat="false" ht="14.25" hidden="false" customHeight="true" outlineLevel="0" collapsed="false">
      <c r="A9" s="12"/>
      <c r="B9" s="14"/>
      <c r="C9" s="14"/>
      <c r="D9" s="11"/>
      <c r="E9" s="11"/>
      <c r="F9" s="11"/>
      <c r="G9" s="11"/>
      <c r="H9" s="11"/>
      <c r="I9" s="11"/>
    </row>
    <row r="10" customFormat="false" ht="14.25" hidden="false" customHeight="true" outlineLevel="0" collapsed="false">
      <c r="A10" s="12"/>
      <c r="B10" s="14"/>
      <c r="C10" s="14"/>
      <c r="D10" s="11"/>
      <c r="E10" s="11"/>
      <c r="F10" s="11"/>
      <c r="G10" s="11"/>
      <c r="H10" s="11"/>
      <c r="I10" s="11"/>
    </row>
    <row r="11" customFormat="false" ht="14.25" hidden="false" customHeight="true" outlineLevel="0" collapsed="false">
      <c r="A11" s="12"/>
      <c r="B11" s="14"/>
      <c r="C11" s="14"/>
      <c r="D11" s="11"/>
      <c r="E11" s="11"/>
      <c r="F11" s="11"/>
      <c r="G11" s="11"/>
      <c r="H11" s="11"/>
      <c r="I11" s="11"/>
    </row>
    <row r="12" customFormat="false" ht="14.25" hidden="false" customHeight="true" outlineLevel="0" collapsed="false">
      <c r="A12" s="12"/>
      <c r="B12" s="14"/>
      <c r="C12" s="14"/>
      <c r="D12" s="11"/>
      <c r="E12" s="11"/>
      <c r="F12" s="11"/>
      <c r="G12" s="11"/>
      <c r="H12" s="11"/>
      <c r="I12" s="11"/>
    </row>
    <row r="13" customFormat="false" ht="14.25" hidden="false" customHeight="true" outlineLevel="0" collapsed="false">
      <c r="A13" s="12"/>
      <c r="B13" s="14"/>
      <c r="C13" s="14"/>
      <c r="D13" s="11"/>
      <c r="E13" s="11"/>
      <c r="F13" s="11"/>
      <c r="G13" s="11"/>
      <c r="H13" s="11"/>
      <c r="I13" s="11"/>
    </row>
    <row r="14" customFormat="false" ht="14.25" hidden="false" customHeight="true" outlineLevel="0" collapsed="false">
      <c r="A14" s="12"/>
      <c r="B14" s="14"/>
      <c r="C14" s="14"/>
      <c r="D14" s="11"/>
      <c r="E14" s="11"/>
      <c r="F14" s="11"/>
      <c r="G14" s="11"/>
      <c r="H14" s="11"/>
      <c r="I14" s="11"/>
    </row>
    <row r="15" customFormat="false" ht="14.25" hidden="false" customHeight="true" outlineLevel="0" collapsed="false">
      <c r="A15" s="12"/>
      <c r="B15" s="14"/>
      <c r="C15" s="14"/>
      <c r="D15" s="11"/>
      <c r="E15" s="11"/>
      <c r="F15" s="11"/>
      <c r="G15" s="11"/>
      <c r="H15" s="11"/>
      <c r="I15" s="11"/>
    </row>
    <row r="16" customFormat="false" ht="14.25" hidden="false" customHeight="true" outlineLevel="0" collapsed="false">
      <c r="A16" s="12"/>
      <c r="B16" s="14"/>
      <c r="C16" s="14"/>
      <c r="D16" s="11"/>
      <c r="E16" s="11"/>
      <c r="F16" s="11"/>
      <c r="G16" s="11"/>
      <c r="H16" s="11"/>
      <c r="I16" s="11"/>
    </row>
    <row r="17" customFormat="false" ht="14.25" hidden="false" customHeight="true" outlineLevel="0" collapsed="false">
      <c r="A17" s="12"/>
      <c r="B17" s="14"/>
      <c r="C17" s="14"/>
      <c r="D17" s="11"/>
      <c r="E17" s="11"/>
      <c r="F17" s="11"/>
      <c r="G17" s="11"/>
      <c r="H17" s="11"/>
      <c r="I17" s="11"/>
    </row>
    <row r="18" customFormat="false" ht="14.25" hidden="false" customHeight="true" outlineLevel="0" collapsed="false">
      <c r="A18" s="12"/>
      <c r="B18" s="14"/>
      <c r="C18" s="14"/>
      <c r="D18" s="11"/>
      <c r="E18" s="11"/>
      <c r="F18" s="11"/>
      <c r="G18" s="11"/>
      <c r="H18" s="11"/>
      <c r="I18" s="11"/>
    </row>
    <row r="19" customFormat="false" ht="14.25" hidden="false" customHeight="true" outlineLevel="0" collapsed="false">
      <c r="A19" s="12"/>
      <c r="B19" s="14"/>
      <c r="C19" s="14"/>
      <c r="D19" s="11"/>
      <c r="E19" s="11"/>
      <c r="F19" s="11"/>
      <c r="G19" s="11"/>
      <c r="H19" s="11"/>
      <c r="I19" s="11"/>
    </row>
    <row r="20" customFormat="false" ht="14.25" hidden="false" customHeight="true" outlineLevel="0" collapsed="false">
      <c r="A20" s="12"/>
      <c r="B20" s="14"/>
      <c r="C20" s="14"/>
      <c r="D20" s="11"/>
      <c r="E20" s="11"/>
      <c r="F20" s="11"/>
      <c r="G20" s="11"/>
      <c r="H20" s="11"/>
      <c r="I20" s="11"/>
    </row>
    <row r="21" customFormat="false" ht="14.25" hidden="false" customHeight="true" outlineLevel="0" collapsed="false">
      <c r="A21" s="12"/>
      <c r="B21" s="14"/>
      <c r="C21" s="14"/>
      <c r="D21" s="11"/>
      <c r="E21" s="11"/>
      <c r="F21" s="11"/>
      <c r="G21" s="11"/>
      <c r="H21" s="11"/>
      <c r="I21" s="11"/>
    </row>
    <row r="22" customFormat="false" ht="14.25" hidden="false" customHeight="true" outlineLevel="0" collapsed="false">
      <c r="A22" s="12"/>
      <c r="B22" s="14"/>
      <c r="C22" s="14"/>
      <c r="D22" s="11"/>
      <c r="E22" s="11"/>
      <c r="F22" s="11"/>
      <c r="G22" s="11"/>
      <c r="H22" s="11"/>
      <c r="I22" s="11"/>
    </row>
    <row r="23" customFormat="false" ht="14.25" hidden="false" customHeight="true" outlineLevel="0" collapsed="false">
      <c r="A23" s="12"/>
      <c r="B23" s="14"/>
      <c r="C23" s="14"/>
      <c r="D23" s="11"/>
      <c r="E23" s="11"/>
      <c r="F23" s="11"/>
      <c r="G23" s="11"/>
      <c r="H23" s="11"/>
      <c r="I23" s="11"/>
    </row>
    <row r="24" customFormat="false" ht="14.25" hidden="false" customHeight="true" outlineLevel="0" collapsed="false">
      <c r="A24" s="12"/>
      <c r="B24" s="14"/>
      <c r="C24" s="14"/>
      <c r="D24" s="11"/>
      <c r="E24" s="11"/>
      <c r="F24" s="11"/>
      <c r="G24" s="11"/>
      <c r="H24" s="11"/>
      <c r="I24" s="11"/>
    </row>
    <row r="25" customFormat="false" ht="14.25" hidden="false" customHeight="true" outlineLevel="0" collapsed="false">
      <c r="A25" s="12"/>
      <c r="B25" s="14"/>
      <c r="C25" s="14"/>
      <c r="D25" s="11"/>
      <c r="E25" s="11"/>
      <c r="F25" s="11"/>
      <c r="G25" s="11"/>
      <c r="H25" s="11"/>
      <c r="I25" s="11"/>
    </row>
    <row r="26" customFormat="false" ht="14.25" hidden="false" customHeight="true" outlineLevel="0" collapsed="false">
      <c r="A26" s="12"/>
      <c r="B26" s="14"/>
      <c r="C26" s="14"/>
      <c r="D26" s="11"/>
      <c r="E26" s="11"/>
      <c r="F26" s="11"/>
      <c r="G26" s="11"/>
      <c r="H26" s="11"/>
      <c r="I26" s="11"/>
    </row>
    <row r="27" customFormat="false" ht="14.25" hidden="false" customHeight="true" outlineLevel="0" collapsed="false">
      <c r="A27" s="12"/>
      <c r="B27" s="14"/>
      <c r="C27" s="14"/>
      <c r="D27" s="11"/>
      <c r="E27" s="11"/>
      <c r="F27" s="11"/>
      <c r="G27" s="11"/>
      <c r="H27" s="11"/>
      <c r="I27" s="11"/>
    </row>
    <row r="28" customFormat="false" ht="14.25" hidden="false" customHeight="true" outlineLevel="0" collapsed="false">
      <c r="A28" s="12"/>
      <c r="B28" s="14"/>
      <c r="C28" s="14"/>
      <c r="D28" s="11"/>
      <c r="E28" s="11"/>
      <c r="F28" s="11"/>
      <c r="G28" s="11"/>
      <c r="H28" s="11"/>
      <c r="I28" s="11"/>
    </row>
    <row r="29" customFormat="false" ht="14.25" hidden="false" customHeight="true" outlineLevel="0" collapsed="false">
      <c r="A29" s="12"/>
      <c r="B29" s="14"/>
      <c r="C29" s="14"/>
      <c r="D29" s="11"/>
      <c r="E29" s="11"/>
      <c r="F29" s="11"/>
      <c r="G29" s="11"/>
      <c r="H29" s="11"/>
      <c r="I29" s="11"/>
    </row>
    <row r="30" customFormat="false" ht="14.25" hidden="false" customHeight="true" outlineLevel="0" collapsed="false">
      <c r="A30" s="12"/>
      <c r="B30" s="14"/>
      <c r="C30" s="14"/>
      <c r="D30" s="11"/>
      <c r="E30" s="11"/>
      <c r="F30" s="11"/>
      <c r="G30" s="11"/>
      <c r="H30" s="11"/>
      <c r="I30" s="11"/>
    </row>
    <row r="31" customFormat="false" ht="14.25" hidden="false" customHeight="true" outlineLevel="0" collapsed="false">
      <c r="A31" s="12"/>
      <c r="B31" s="14"/>
      <c r="C31" s="14"/>
      <c r="D31" s="11"/>
      <c r="E31" s="11"/>
      <c r="F31" s="11"/>
      <c r="G31" s="11"/>
      <c r="H31" s="11"/>
      <c r="I31" s="11"/>
    </row>
    <row r="32" customFormat="false" ht="14.25" hidden="false" customHeight="true" outlineLevel="0" collapsed="false">
      <c r="A32" s="12"/>
      <c r="B32" s="14"/>
      <c r="C32" s="14"/>
      <c r="D32" s="11"/>
      <c r="E32" s="11"/>
      <c r="F32" s="11"/>
      <c r="G32" s="11"/>
      <c r="H32" s="11"/>
      <c r="I32" s="11"/>
    </row>
    <row r="33" customFormat="false" ht="14.25" hidden="false" customHeight="true" outlineLevel="0" collapsed="false">
      <c r="A33" s="12"/>
      <c r="B33" s="14"/>
      <c r="C33" s="14"/>
      <c r="D33" s="11"/>
      <c r="E33" s="11"/>
      <c r="F33" s="11"/>
      <c r="G33" s="11"/>
      <c r="H33" s="11"/>
      <c r="I33" s="11"/>
    </row>
    <row r="34" customFormat="false" ht="14.25" hidden="false" customHeight="true" outlineLevel="0" collapsed="false">
      <c r="A34" s="12"/>
      <c r="B34" s="14"/>
      <c r="C34" s="14"/>
      <c r="D34" s="11"/>
      <c r="E34" s="11"/>
      <c r="F34" s="11"/>
      <c r="G34" s="11"/>
      <c r="H34" s="11"/>
      <c r="I34" s="11"/>
    </row>
    <row r="35" customFormat="false" ht="14.25" hidden="false" customHeight="true" outlineLevel="0" collapsed="false">
      <c r="A35" s="12"/>
      <c r="B35" s="14"/>
      <c r="C35" s="14"/>
      <c r="D35" s="11"/>
      <c r="E35" s="11"/>
      <c r="F35" s="11"/>
      <c r="G35" s="11"/>
      <c r="H35" s="11"/>
      <c r="I35" s="11"/>
    </row>
    <row r="36" customFormat="false" ht="14.25" hidden="false" customHeight="true" outlineLevel="0" collapsed="false">
      <c r="A36" s="12"/>
      <c r="B36" s="14"/>
      <c r="C36" s="14"/>
      <c r="D36" s="11"/>
      <c r="E36" s="11"/>
      <c r="F36" s="11"/>
      <c r="G36" s="11"/>
      <c r="H36" s="11"/>
      <c r="I36" s="11"/>
    </row>
    <row r="37" customFormat="false" ht="14.25" hidden="false" customHeight="true" outlineLevel="0" collapsed="false">
      <c r="A37" s="12"/>
      <c r="B37" s="14"/>
      <c r="C37" s="14"/>
      <c r="D37" s="11"/>
      <c r="E37" s="11"/>
      <c r="F37" s="11"/>
      <c r="G37" s="11"/>
      <c r="H37" s="11"/>
      <c r="I37" s="11"/>
    </row>
    <row r="38" customFormat="false" ht="14.25" hidden="false" customHeight="true" outlineLevel="0" collapsed="false">
      <c r="A38" s="12"/>
      <c r="B38" s="14"/>
      <c r="C38" s="14"/>
      <c r="D38" s="11"/>
      <c r="E38" s="11"/>
      <c r="F38" s="11"/>
      <c r="G38" s="11"/>
      <c r="H38" s="11"/>
      <c r="I38" s="11"/>
    </row>
    <row r="39" customFormat="false" ht="14.25" hidden="false" customHeight="true" outlineLevel="0" collapsed="false">
      <c r="A39" s="12"/>
      <c r="B39" s="14"/>
      <c r="C39" s="14"/>
      <c r="D39" s="11"/>
      <c r="E39" s="11"/>
      <c r="F39" s="11"/>
      <c r="G39" s="11"/>
      <c r="H39" s="11"/>
      <c r="I39" s="11"/>
    </row>
    <row r="40" customFormat="false" ht="14.25" hidden="false" customHeight="true" outlineLevel="0" collapsed="false">
      <c r="A40" s="12"/>
      <c r="B40" s="14"/>
      <c r="C40" s="14"/>
      <c r="D40" s="11"/>
      <c r="E40" s="11"/>
      <c r="F40" s="11"/>
      <c r="G40" s="11"/>
      <c r="H40" s="11"/>
      <c r="I40" s="11"/>
    </row>
    <row r="41" customFormat="false" ht="14.25" hidden="false" customHeight="true" outlineLevel="0" collapsed="false">
      <c r="A41" s="12"/>
      <c r="B41" s="14"/>
      <c r="C41" s="14"/>
      <c r="D41" s="11"/>
      <c r="E41" s="11"/>
      <c r="F41" s="11"/>
      <c r="G41" s="11"/>
      <c r="H41" s="11"/>
      <c r="I41" s="11"/>
    </row>
    <row r="42" customFormat="false" ht="14.25" hidden="false" customHeight="true" outlineLevel="0" collapsed="false">
      <c r="A42" s="12"/>
      <c r="B42" s="14"/>
      <c r="C42" s="14"/>
      <c r="D42" s="11"/>
      <c r="E42" s="11"/>
      <c r="F42" s="11"/>
      <c r="G42" s="11"/>
      <c r="H42" s="11"/>
      <c r="I42" s="11"/>
    </row>
    <row r="43" customFormat="false" ht="14.25" hidden="false" customHeight="true" outlineLevel="0" collapsed="false">
      <c r="A43" s="12"/>
      <c r="B43" s="14"/>
      <c r="C43" s="14"/>
      <c r="D43" s="11"/>
      <c r="E43" s="11"/>
      <c r="F43" s="11"/>
      <c r="G43" s="11"/>
      <c r="H43" s="11"/>
      <c r="I43" s="11"/>
    </row>
    <row r="44" customFormat="false" ht="14.25" hidden="false" customHeight="true" outlineLevel="0" collapsed="false">
      <c r="A44" s="12"/>
      <c r="B44" s="14"/>
      <c r="C44" s="14"/>
      <c r="D44" s="11"/>
      <c r="E44" s="11"/>
      <c r="F44" s="11"/>
      <c r="G44" s="11"/>
      <c r="H44" s="11"/>
      <c r="I44" s="11"/>
    </row>
    <row r="45" customFormat="false" ht="14.25" hidden="false" customHeight="true" outlineLevel="0" collapsed="false">
      <c r="A45" s="12"/>
      <c r="B45" s="14"/>
      <c r="C45" s="14"/>
      <c r="D45" s="11"/>
      <c r="E45" s="11"/>
      <c r="F45" s="11"/>
      <c r="G45" s="11"/>
      <c r="H45" s="11"/>
      <c r="I45" s="11"/>
    </row>
    <row r="46" customFormat="false" ht="14.25" hidden="false" customHeight="true" outlineLevel="0" collapsed="false">
      <c r="A46" s="12"/>
      <c r="B46" s="14"/>
      <c r="C46" s="14"/>
      <c r="D46" s="11"/>
      <c r="E46" s="11"/>
      <c r="F46" s="11"/>
      <c r="G46" s="11"/>
      <c r="H46" s="11"/>
      <c r="I46" s="11"/>
    </row>
    <row r="47" customFormat="false" ht="14.25" hidden="false" customHeight="true" outlineLevel="0" collapsed="false">
      <c r="A47" s="12"/>
      <c r="B47" s="14"/>
      <c r="C47" s="14"/>
      <c r="D47" s="11"/>
      <c r="E47" s="11"/>
      <c r="F47" s="11"/>
      <c r="G47" s="11"/>
      <c r="H47" s="11"/>
      <c r="I47" s="11"/>
    </row>
    <row r="48" customFormat="false" ht="14.25" hidden="false" customHeight="true" outlineLevel="0" collapsed="false">
      <c r="A48" s="12"/>
      <c r="B48" s="14"/>
      <c r="C48" s="14"/>
      <c r="D48" s="11"/>
      <c r="E48" s="11"/>
      <c r="F48" s="11"/>
      <c r="G48" s="11"/>
      <c r="H48" s="11"/>
      <c r="I48" s="11"/>
    </row>
    <row r="49" customFormat="false" ht="14.25" hidden="false" customHeight="true" outlineLevel="0" collapsed="false">
      <c r="A49" s="12"/>
      <c r="B49" s="14"/>
      <c r="C49" s="14"/>
      <c r="D49" s="11"/>
      <c r="E49" s="11"/>
      <c r="F49" s="11"/>
      <c r="G49" s="11"/>
      <c r="H49" s="11"/>
      <c r="I49" s="11"/>
    </row>
    <row r="50" customFormat="false" ht="14.25" hidden="false" customHeight="true" outlineLevel="0" collapsed="false">
      <c r="A50" s="12"/>
      <c r="B50" s="14"/>
      <c r="C50" s="14"/>
      <c r="D50" s="11"/>
      <c r="E50" s="11"/>
      <c r="F50" s="11"/>
      <c r="G50" s="11"/>
      <c r="H50" s="11"/>
      <c r="I50" s="11"/>
    </row>
    <row r="51" customFormat="false" ht="14.25" hidden="false" customHeight="true" outlineLevel="0" collapsed="false">
      <c r="A51" s="12"/>
      <c r="B51" s="14"/>
      <c r="C51" s="14"/>
      <c r="D51" s="11"/>
      <c r="E51" s="11"/>
      <c r="F51" s="11"/>
      <c r="G51" s="11"/>
      <c r="H51" s="11"/>
      <c r="I51" s="11"/>
    </row>
    <row r="52" customFormat="false" ht="14.25" hidden="false" customHeight="true" outlineLevel="0" collapsed="false">
      <c r="A52" s="12"/>
      <c r="B52" s="14"/>
      <c r="C52" s="14"/>
      <c r="D52" s="11"/>
      <c r="E52" s="11"/>
      <c r="F52" s="11"/>
      <c r="G52" s="11"/>
      <c r="H52" s="11"/>
      <c r="I52" s="11"/>
    </row>
    <row r="53" customFormat="false" ht="14.25" hidden="false" customHeight="true" outlineLevel="0" collapsed="false">
      <c r="A53" s="12"/>
      <c r="B53" s="14"/>
      <c r="C53" s="14"/>
      <c r="D53" s="11"/>
      <c r="E53" s="11"/>
      <c r="F53" s="11"/>
      <c r="G53" s="11"/>
      <c r="H53" s="11"/>
      <c r="I53" s="11"/>
    </row>
    <row r="54" customFormat="false" ht="14.25" hidden="false" customHeight="true" outlineLevel="0" collapsed="false">
      <c r="A54" s="12"/>
      <c r="B54" s="14"/>
      <c r="C54" s="14"/>
      <c r="D54" s="11"/>
      <c r="E54" s="11"/>
      <c r="F54" s="11"/>
      <c r="G54" s="11"/>
      <c r="H54" s="11"/>
      <c r="I54" s="11"/>
    </row>
    <row r="55" customFormat="false" ht="14.25" hidden="false" customHeight="true" outlineLevel="0" collapsed="false">
      <c r="A55" s="12"/>
      <c r="B55" s="14"/>
      <c r="C55" s="14"/>
      <c r="D55" s="11"/>
      <c r="E55" s="11"/>
      <c r="F55" s="11"/>
      <c r="G55" s="11"/>
      <c r="H55" s="11"/>
      <c r="I55" s="11"/>
    </row>
    <row r="56" customFormat="false" ht="14.25" hidden="false" customHeight="true" outlineLevel="0" collapsed="false">
      <c r="A56" s="12"/>
      <c r="B56" s="14"/>
      <c r="C56" s="14"/>
      <c r="D56" s="11"/>
      <c r="E56" s="11"/>
      <c r="F56" s="11"/>
      <c r="G56" s="11"/>
      <c r="H56" s="11"/>
      <c r="I56" s="11"/>
    </row>
    <row r="57" customFormat="false" ht="14.25" hidden="false" customHeight="true" outlineLevel="0" collapsed="false">
      <c r="A57" s="12"/>
      <c r="B57" s="14"/>
      <c r="C57" s="14"/>
      <c r="D57" s="11"/>
      <c r="E57" s="11"/>
      <c r="F57" s="11"/>
      <c r="G57" s="11"/>
      <c r="H57" s="11"/>
      <c r="I57" s="11"/>
    </row>
    <row r="58" customFormat="false" ht="14.25" hidden="false" customHeight="true" outlineLevel="0" collapsed="false">
      <c r="A58" s="12"/>
      <c r="B58" s="14"/>
      <c r="C58" s="14"/>
      <c r="D58" s="11"/>
      <c r="E58" s="11"/>
      <c r="F58" s="11"/>
      <c r="G58" s="11"/>
      <c r="H58" s="11"/>
      <c r="I58" s="11"/>
    </row>
    <row r="59" customFormat="false" ht="14.25" hidden="false" customHeight="true" outlineLevel="0" collapsed="false">
      <c r="A59" s="12"/>
      <c r="B59" s="14"/>
      <c r="C59" s="14"/>
      <c r="D59" s="11"/>
      <c r="E59" s="11"/>
      <c r="F59" s="11"/>
      <c r="G59" s="11"/>
      <c r="H59" s="11"/>
      <c r="I59" s="11"/>
    </row>
    <row r="60" customFormat="false" ht="14.25" hidden="false" customHeight="true" outlineLevel="0" collapsed="false">
      <c r="A60" s="12"/>
      <c r="B60" s="14"/>
      <c r="C60" s="14"/>
      <c r="D60" s="11"/>
      <c r="E60" s="11"/>
      <c r="F60" s="11"/>
      <c r="G60" s="11"/>
      <c r="H60" s="11"/>
      <c r="I60" s="11"/>
    </row>
    <row r="61" customFormat="false" ht="14.25" hidden="false" customHeight="true" outlineLevel="0" collapsed="false">
      <c r="A61" s="12"/>
      <c r="B61" s="14"/>
      <c r="C61" s="14"/>
      <c r="D61" s="11"/>
      <c r="E61" s="11"/>
      <c r="F61" s="11"/>
      <c r="G61" s="11"/>
      <c r="H61" s="11"/>
      <c r="I61" s="11"/>
    </row>
    <row r="62" customFormat="false" ht="14.25" hidden="false" customHeight="true" outlineLevel="0" collapsed="false">
      <c r="A62" s="12"/>
      <c r="B62" s="14"/>
      <c r="C62" s="14"/>
      <c r="D62" s="11"/>
      <c r="E62" s="11"/>
      <c r="F62" s="11"/>
      <c r="G62" s="11"/>
      <c r="H62" s="11"/>
      <c r="I62" s="11"/>
    </row>
    <row r="63" customFormat="false" ht="14.25" hidden="false" customHeight="true" outlineLevel="0" collapsed="false">
      <c r="A63" s="12"/>
      <c r="B63" s="14"/>
      <c r="C63" s="14"/>
      <c r="D63" s="11"/>
      <c r="E63" s="11"/>
      <c r="F63" s="11"/>
      <c r="G63" s="11"/>
      <c r="H63" s="11"/>
      <c r="I63" s="11"/>
    </row>
    <row r="64" customFormat="false" ht="14.25" hidden="false" customHeight="true" outlineLevel="0" collapsed="false">
      <c r="A64" s="12"/>
      <c r="B64" s="14"/>
      <c r="C64" s="14"/>
      <c r="D64" s="11"/>
      <c r="E64" s="11"/>
      <c r="F64" s="11"/>
      <c r="G64" s="11"/>
      <c r="H64" s="11"/>
      <c r="I64" s="11"/>
    </row>
    <row r="65" customFormat="false" ht="14.25" hidden="false" customHeight="true" outlineLevel="0" collapsed="false">
      <c r="A65" s="12"/>
      <c r="B65" s="14"/>
      <c r="C65" s="14"/>
      <c r="D65" s="11"/>
      <c r="E65" s="11"/>
      <c r="F65" s="11"/>
      <c r="G65" s="11"/>
      <c r="H65" s="11"/>
      <c r="I65" s="11"/>
    </row>
    <row r="66" customFormat="false" ht="14.25" hidden="false" customHeight="true" outlineLevel="0" collapsed="false">
      <c r="A66" s="12"/>
      <c r="B66" s="14"/>
      <c r="C66" s="14"/>
      <c r="D66" s="11"/>
      <c r="E66" s="11"/>
      <c r="F66" s="11"/>
      <c r="G66" s="11"/>
      <c r="H66" s="11"/>
      <c r="I66" s="11"/>
    </row>
    <row r="67" customFormat="false" ht="14.25" hidden="false" customHeight="true" outlineLevel="0" collapsed="false">
      <c r="A67" s="12"/>
      <c r="B67" s="14"/>
      <c r="C67" s="14"/>
      <c r="D67" s="11"/>
      <c r="E67" s="11"/>
      <c r="F67" s="11"/>
      <c r="G67" s="11"/>
      <c r="H67" s="11"/>
      <c r="I67" s="11"/>
    </row>
    <row r="68" customFormat="false" ht="14.25" hidden="false" customHeight="true" outlineLevel="0" collapsed="false">
      <c r="A68" s="12"/>
      <c r="B68" s="14"/>
      <c r="C68" s="14"/>
      <c r="D68" s="11"/>
      <c r="E68" s="11"/>
      <c r="F68" s="11"/>
      <c r="G68" s="11"/>
      <c r="H68" s="11"/>
      <c r="I68" s="11"/>
    </row>
    <row r="69" customFormat="false" ht="14.25" hidden="false" customHeight="true" outlineLevel="0" collapsed="false">
      <c r="A69" s="12"/>
      <c r="B69" s="14"/>
      <c r="C69" s="14"/>
      <c r="D69" s="11"/>
      <c r="E69" s="11"/>
      <c r="F69" s="11"/>
      <c r="G69" s="11"/>
      <c r="H69" s="11"/>
      <c r="I69" s="11"/>
    </row>
    <row r="70" customFormat="false" ht="14.25" hidden="false" customHeight="true" outlineLevel="0" collapsed="false">
      <c r="A70" s="12"/>
      <c r="B70" s="14"/>
      <c r="C70" s="14"/>
      <c r="D70" s="11"/>
      <c r="E70" s="11"/>
      <c r="F70" s="11"/>
      <c r="G70" s="11"/>
      <c r="H70" s="11"/>
      <c r="I70" s="11"/>
    </row>
    <row r="71" customFormat="false" ht="14.25" hidden="false" customHeight="true" outlineLevel="0" collapsed="false">
      <c r="A71" s="12"/>
      <c r="B71" s="14"/>
      <c r="C71" s="14"/>
      <c r="D71" s="11"/>
      <c r="E71" s="11"/>
      <c r="F71" s="11"/>
      <c r="G71" s="11"/>
      <c r="H71" s="11"/>
      <c r="I71" s="11"/>
    </row>
    <row r="72" customFormat="false" ht="14.25" hidden="false" customHeight="true" outlineLevel="0" collapsed="false">
      <c r="A72" s="12"/>
      <c r="B72" s="14"/>
      <c r="C72" s="14"/>
      <c r="D72" s="11"/>
      <c r="E72" s="11"/>
      <c r="F72" s="11"/>
      <c r="G72" s="11"/>
      <c r="H72" s="11"/>
      <c r="I72" s="11"/>
    </row>
    <row r="73" customFormat="false" ht="14.25" hidden="false" customHeight="true" outlineLevel="0" collapsed="false">
      <c r="A73" s="12"/>
      <c r="B73" s="14"/>
      <c r="C73" s="14"/>
      <c r="D73" s="11"/>
      <c r="E73" s="11"/>
      <c r="F73" s="11"/>
      <c r="G73" s="11"/>
      <c r="H73" s="11"/>
      <c r="I73" s="11"/>
    </row>
    <row r="74" customFormat="false" ht="14.25" hidden="false" customHeight="true" outlineLevel="0" collapsed="false">
      <c r="A74" s="12"/>
      <c r="B74" s="14"/>
      <c r="C74" s="14"/>
      <c r="D74" s="11"/>
      <c r="E74" s="11"/>
      <c r="F74" s="11"/>
      <c r="G74" s="11"/>
      <c r="H74" s="11"/>
      <c r="I74" s="11"/>
    </row>
    <row r="75" customFormat="false" ht="14.25" hidden="false" customHeight="true" outlineLevel="0" collapsed="false">
      <c r="A75" s="12"/>
      <c r="B75" s="14"/>
      <c r="C75" s="14"/>
      <c r="D75" s="11"/>
      <c r="E75" s="11"/>
      <c r="F75" s="11"/>
      <c r="G75" s="11"/>
      <c r="H75" s="11"/>
      <c r="I75" s="11"/>
    </row>
    <row r="76" customFormat="false" ht="14.25" hidden="false" customHeight="true" outlineLevel="0" collapsed="false">
      <c r="A76" s="12"/>
      <c r="B76" s="14"/>
      <c r="C76" s="14"/>
      <c r="D76" s="11"/>
      <c r="E76" s="11"/>
      <c r="F76" s="11"/>
      <c r="G76" s="11"/>
      <c r="H76" s="11"/>
      <c r="I76" s="11"/>
    </row>
    <row r="77" customFormat="false" ht="14.25" hidden="false" customHeight="true" outlineLevel="0" collapsed="false">
      <c r="A77" s="12"/>
      <c r="B77" s="14"/>
      <c r="C77" s="14"/>
      <c r="D77" s="11"/>
      <c r="E77" s="11"/>
      <c r="F77" s="11"/>
      <c r="G77" s="11"/>
      <c r="H77" s="11"/>
      <c r="I77" s="11"/>
    </row>
    <row r="78" customFormat="false" ht="14.25" hidden="false" customHeight="true" outlineLevel="0" collapsed="false">
      <c r="A78" s="12"/>
      <c r="B78" s="14"/>
      <c r="C78" s="14"/>
      <c r="D78" s="11"/>
      <c r="E78" s="11"/>
      <c r="F78" s="11"/>
      <c r="G78" s="11"/>
      <c r="H78" s="11"/>
      <c r="I78" s="11"/>
    </row>
    <row r="79" customFormat="false" ht="14.25" hidden="false" customHeight="true" outlineLevel="0" collapsed="false">
      <c r="A79" s="12"/>
      <c r="B79" s="14"/>
      <c r="C79" s="14"/>
      <c r="D79" s="11"/>
      <c r="E79" s="11"/>
      <c r="F79" s="11"/>
      <c r="G79" s="11"/>
      <c r="H79" s="11"/>
      <c r="I79" s="11"/>
    </row>
    <row r="80" customFormat="false" ht="14.25" hidden="false" customHeight="true" outlineLevel="0" collapsed="false">
      <c r="A80" s="12"/>
      <c r="B80" s="14"/>
      <c r="C80" s="14"/>
      <c r="D80" s="11"/>
      <c r="E80" s="11"/>
      <c r="F80" s="11"/>
      <c r="G80" s="11"/>
      <c r="H80" s="11"/>
      <c r="I80" s="11"/>
    </row>
    <row r="81" customFormat="false" ht="14.25" hidden="false" customHeight="true" outlineLevel="0" collapsed="false">
      <c r="A81" s="12"/>
      <c r="B81" s="14"/>
      <c r="C81" s="14"/>
      <c r="D81" s="11"/>
      <c r="E81" s="11"/>
      <c r="F81" s="11"/>
      <c r="G81" s="11"/>
      <c r="H81" s="11"/>
      <c r="I81" s="11"/>
    </row>
    <row r="82" customFormat="false" ht="14.25" hidden="false" customHeight="true" outlineLevel="0" collapsed="false">
      <c r="A82" s="12"/>
      <c r="B82" s="14"/>
      <c r="C82" s="14"/>
      <c r="D82" s="11"/>
      <c r="E82" s="11"/>
      <c r="F82" s="11"/>
      <c r="G82" s="11"/>
      <c r="H82" s="11"/>
      <c r="I82" s="11"/>
    </row>
    <row r="83" customFormat="false" ht="14.25" hidden="false" customHeight="true" outlineLevel="0" collapsed="false">
      <c r="A83" s="12"/>
      <c r="B83" s="14"/>
      <c r="C83" s="14"/>
      <c r="D83" s="11"/>
      <c r="E83" s="11"/>
      <c r="F83" s="11"/>
      <c r="G83" s="11"/>
      <c r="H83" s="11"/>
      <c r="I83" s="11"/>
    </row>
    <row r="84" customFormat="false" ht="14.25" hidden="false" customHeight="true" outlineLevel="0" collapsed="false">
      <c r="A84" s="12"/>
      <c r="B84" s="14"/>
      <c r="C84" s="14"/>
      <c r="D84" s="11"/>
      <c r="E84" s="11"/>
      <c r="F84" s="11"/>
      <c r="G84" s="11"/>
      <c r="H84" s="11"/>
      <c r="I84" s="11"/>
    </row>
    <row r="85" customFormat="false" ht="14.25" hidden="false" customHeight="true" outlineLevel="0" collapsed="false">
      <c r="A85" s="12"/>
      <c r="B85" s="14"/>
      <c r="C85" s="14"/>
      <c r="D85" s="11"/>
      <c r="E85" s="11"/>
      <c r="F85" s="11"/>
      <c r="G85" s="11"/>
      <c r="H85" s="11"/>
      <c r="I85" s="11"/>
    </row>
    <row r="86" customFormat="false" ht="14.25" hidden="false" customHeight="true" outlineLevel="0" collapsed="false">
      <c r="A86" s="12"/>
      <c r="B86" s="14"/>
      <c r="C86" s="14"/>
      <c r="D86" s="11"/>
      <c r="E86" s="11"/>
      <c r="F86" s="11"/>
      <c r="G86" s="11"/>
      <c r="H86" s="11"/>
      <c r="I86" s="11"/>
    </row>
    <row r="87" customFormat="false" ht="14.25" hidden="false" customHeight="true" outlineLevel="0" collapsed="false">
      <c r="A87" s="12"/>
      <c r="B87" s="14"/>
      <c r="C87" s="14"/>
      <c r="D87" s="11"/>
      <c r="E87" s="11"/>
      <c r="F87" s="11"/>
      <c r="G87" s="11"/>
      <c r="H87" s="11"/>
      <c r="I87" s="11"/>
    </row>
    <row r="88" customFormat="false" ht="14.25" hidden="false" customHeight="true" outlineLevel="0" collapsed="false">
      <c r="A88" s="12"/>
      <c r="B88" s="14"/>
      <c r="C88" s="14"/>
      <c r="D88" s="11"/>
      <c r="E88" s="11"/>
      <c r="F88" s="11"/>
      <c r="G88" s="11"/>
      <c r="H88" s="11"/>
      <c r="I88" s="11"/>
    </row>
    <row r="89" customFormat="false" ht="14.25" hidden="false" customHeight="true" outlineLevel="0" collapsed="false">
      <c r="A89" s="12"/>
      <c r="B89" s="14"/>
      <c r="C89" s="14"/>
      <c r="D89" s="11"/>
      <c r="E89" s="11"/>
      <c r="F89" s="11"/>
      <c r="G89" s="11"/>
      <c r="H89" s="11"/>
      <c r="I89" s="11"/>
    </row>
    <row r="90" customFormat="false" ht="14.25" hidden="false" customHeight="true" outlineLevel="0" collapsed="false">
      <c r="A90" s="12"/>
      <c r="B90" s="14"/>
      <c r="C90" s="14"/>
      <c r="D90" s="11"/>
      <c r="E90" s="11"/>
      <c r="F90" s="11"/>
      <c r="G90" s="11"/>
      <c r="H90" s="11"/>
      <c r="I90" s="11"/>
    </row>
    <row r="91" customFormat="false" ht="14.25" hidden="false" customHeight="true" outlineLevel="0" collapsed="false">
      <c r="A91" s="12"/>
      <c r="B91" s="14"/>
      <c r="C91" s="14"/>
      <c r="D91" s="11"/>
      <c r="E91" s="11"/>
      <c r="F91" s="11"/>
      <c r="G91" s="11"/>
      <c r="H91" s="11"/>
      <c r="I91" s="11"/>
    </row>
    <row r="92" customFormat="false" ht="14.25" hidden="false" customHeight="true" outlineLevel="0" collapsed="false">
      <c r="A92" s="12"/>
      <c r="B92" s="14"/>
      <c r="C92" s="14"/>
      <c r="D92" s="11"/>
      <c r="E92" s="11"/>
      <c r="F92" s="11"/>
      <c r="G92" s="11"/>
      <c r="H92" s="11"/>
      <c r="I92" s="11"/>
    </row>
    <row r="93" customFormat="false" ht="14.25" hidden="false" customHeight="true" outlineLevel="0" collapsed="false">
      <c r="A93" s="12"/>
      <c r="B93" s="14"/>
      <c r="C93" s="14"/>
      <c r="D93" s="11"/>
      <c r="E93" s="11"/>
      <c r="F93" s="11"/>
      <c r="G93" s="11"/>
      <c r="H93" s="11"/>
      <c r="I93" s="11"/>
    </row>
    <row r="94" customFormat="false" ht="14.25" hidden="false" customHeight="true" outlineLevel="0" collapsed="false">
      <c r="A94" s="12"/>
      <c r="B94" s="14"/>
      <c r="C94" s="14"/>
      <c r="D94" s="11"/>
      <c r="E94" s="11"/>
      <c r="F94" s="11"/>
      <c r="G94" s="11"/>
      <c r="H94" s="11"/>
      <c r="I94" s="11"/>
    </row>
    <row r="95" customFormat="false" ht="14.25" hidden="false" customHeight="true" outlineLevel="0" collapsed="false">
      <c r="A95" s="12"/>
      <c r="B95" s="14"/>
      <c r="C95" s="14"/>
      <c r="D95" s="11"/>
      <c r="E95" s="11"/>
      <c r="F95" s="11"/>
      <c r="G95" s="11"/>
      <c r="H95" s="11"/>
      <c r="I95" s="11"/>
    </row>
    <row r="96" customFormat="false" ht="14.25" hidden="false" customHeight="true" outlineLevel="0" collapsed="false">
      <c r="A96" s="12"/>
      <c r="B96" s="14"/>
      <c r="C96" s="14"/>
      <c r="D96" s="11"/>
      <c r="E96" s="11"/>
      <c r="F96" s="11"/>
      <c r="G96" s="11"/>
      <c r="H96" s="11"/>
      <c r="I96" s="11"/>
    </row>
    <row r="97" customFormat="false" ht="14.25" hidden="false" customHeight="true" outlineLevel="0" collapsed="false">
      <c r="A97" s="12"/>
      <c r="B97" s="14"/>
      <c r="C97" s="14"/>
      <c r="D97" s="11"/>
      <c r="E97" s="11"/>
      <c r="F97" s="11"/>
      <c r="G97" s="11"/>
      <c r="H97" s="11"/>
      <c r="I97" s="11"/>
    </row>
    <row r="98" customFormat="false" ht="14.25" hidden="false" customHeight="true" outlineLevel="0" collapsed="false">
      <c r="A98" s="12"/>
      <c r="B98" s="14"/>
      <c r="C98" s="14"/>
      <c r="D98" s="11"/>
      <c r="E98" s="11"/>
      <c r="F98" s="11"/>
      <c r="G98" s="11"/>
      <c r="H98" s="11"/>
      <c r="I98" s="11"/>
    </row>
    <row r="99" customFormat="false" ht="14.25" hidden="false" customHeight="true" outlineLevel="0" collapsed="false">
      <c r="A99" s="12"/>
      <c r="B99" s="14"/>
      <c r="C99" s="14"/>
      <c r="D99" s="11"/>
      <c r="E99" s="11"/>
      <c r="F99" s="11"/>
      <c r="G99" s="11"/>
      <c r="H99" s="11"/>
      <c r="I99" s="11"/>
    </row>
    <row r="100" customFormat="false" ht="14.25" hidden="false" customHeight="true" outlineLevel="0" collapsed="false">
      <c r="A100" s="12"/>
      <c r="B100" s="14"/>
      <c r="C100" s="14"/>
      <c r="D100" s="11"/>
      <c r="E100" s="11"/>
      <c r="F100" s="11"/>
      <c r="G100" s="11"/>
      <c r="H100" s="11"/>
      <c r="I100" s="11"/>
    </row>
    <row r="101" customFormat="false" ht="14.25" hidden="false" customHeight="true" outlineLevel="0" collapsed="false">
      <c r="A101" s="12"/>
      <c r="B101" s="14"/>
      <c r="C101" s="14"/>
      <c r="D101" s="11"/>
      <c r="E101" s="11"/>
      <c r="F101" s="11"/>
      <c r="G101" s="11"/>
      <c r="H101" s="11"/>
      <c r="I101" s="11"/>
    </row>
    <row r="102" customFormat="false" ht="14.25" hidden="false" customHeight="true" outlineLevel="0" collapsed="false">
      <c r="A102" s="18" t="n">
        <v>46285</v>
      </c>
      <c r="B102" s="1" t="s">
        <v>76</v>
      </c>
      <c r="C102" s="1" t="s">
        <v>352</v>
      </c>
      <c r="D102" s="1" t="s">
        <v>353</v>
      </c>
      <c r="E102" s="1" t="s">
        <v>115</v>
      </c>
      <c r="F102" s="1" t="s">
        <v>342</v>
      </c>
      <c r="G102" s="1" t="s">
        <v>354</v>
      </c>
      <c r="H102" s="1" t="s">
        <v>355</v>
      </c>
      <c r="I102" s="1" t="s">
        <v>356</v>
      </c>
    </row>
  </sheetData>
  <mergeCells count="1">
    <mergeCell ref="A1:I1"/>
  </mergeCells>
  <dataValidations count="2">
    <dataValidation allowBlank="false" errorStyle="stop" operator="between" showDropDown="false" showErrorMessage="false" showInputMessage="false" sqref="B3:B101" type="list">
      <formula1>"Unit 1 / Phase 1,Phase 2,Phase 3,Final"</formula1>
      <formula2>0</formula2>
    </dataValidation>
    <dataValidation allowBlank="false" errorStyle="stop" operator="between" showDropDown="false" showErrorMessage="false" showInputMessage="false" sqref="C3:C101" type="list">
      <formula1>"Meeting,Telephone Call,Online Meeting,Email,Site Visit,Other"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9.00390625" defaultRowHeight="14.25" zeroHeight="false" outlineLevelRow="0" outlineLevelCol="0"/>
  <cols>
    <col collapsed="false" customWidth="true" hidden="false" outlineLevel="0" max="1" min="1" style="1" width="38"/>
    <col collapsed="false" customWidth="true" hidden="false" outlineLevel="0" max="2" min="2" style="1" width="62"/>
    <col collapsed="false" customWidth="true" hidden="false" outlineLevel="0" max="3" min="3" style="1" width="3"/>
    <col collapsed="false" customWidth="true" hidden="false" outlineLevel="0" max="4" min="4" style="1" width="20"/>
    <col collapsed="false" customWidth="true" hidden="false" outlineLevel="0" max="5" min="5" style="1" width="48"/>
    <col collapsed="false" customWidth="true" hidden="false" outlineLevel="0" max="6" min="6" style="1" width="3"/>
  </cols>
  <sheetData>
    <row r="1" customFormat="false" ht="19.5" hidden="false" customHeight="true" outlineLevel="0" collapsed="false">
      <c r="A1" s="2" t="s">
        <v>29</v>
      </c>
      <c r="B1" s="2"/>
      <c r="C1" s="2"/>
      <c r="D1" s="2"/>
      <c r="E1" s="2"/>
      <c r="F1" s="2"/>
    </row>
    <row r="3" customFormat="false" ht="14.25" hidden="false" customHeight="true" outlineLevel="0" collapsed="false">
      <c r="A3" s="4" t="s">
        <v>357</v>
      </c>
      <c r="B3" s="4" t="s">
        <v>42</v>
      </c>
      <c r="D3" s="20" t="s">
        <v>358</v>
      </c>
      <c r="E3" s="20"/>
      <c r="F3" s="20"/>
    </row>
    <row r="4" customFormat="false" ht="27.75" hidden="false" customHeight="true" outlineLevel="0" collapsed="false">
      <c r="A4" s="6" t="s">
        <v>57</v>
      </c>
      <c r="B4" s="8" t="s">
        <v>32</v>
      </c>
      <c r="D4" s="6" t="s">
        <v>359</v>
      </c>
      <c r="E4" s="7" t="s">
        <v>360</v>
      </c>
    </row>
    <row r="5" customFormat="false" ht="27.75" hidden="false" customHeight="true" outlineLevel="0" collapsed="false">
      <c r="A5" s="6" t="s">
        <v>48</v>
      </c>
      <c r="B5" s="8" t="s">
        <v>361</v>
      </c>
      <c r="D5" s="6" t="s">
        <v>362</v>
      </c>
      <c r="E5" s="7" t="s">
        <v>363</v>
      </c>
    </row>
    <row r="6" customFormat="false" ht="27.75" hidden="false" customHeight="true" outlineLevel="0" collapsed="false">
      <c r="A6" s="6" t="s">
        <v>364</v>
      </c>
      <c r="B6" s="8" t="s">
        <v>365</v>
      </c>
      <c r="D6" s="6" t="s">
        <v>366</v>
      </c>
      <c r="E6" s="7" t="s">
        <v>367</v>
      </c>
    </row>
    <row r="7" customFormat="false" ht="27.75" hidden="false" customHeight="true" outlineLevel="0" collapsed="false">
      <c r="A7" s="6" t="s">
        <v>368</v>
      </c>
      <c r="B7" s="8" t="s">
        <v>369</v>
      </c>
      <c r="D7" s="6" t="s">
        <v>370</v>
      </c>
      <c r="E7" s="7" t="s">
        <v>371</v>
      </c>
    </row>
    <row r="8" customFormat="false" ht="27.75" hidden="false" customHeight="true" outlineLevel="0" collapsed="false">
      <c r="A8" s="6" t="s">
        <v>372</v>
      </c>
      <c r="B8" s="8" t="s">
        <v>373</v>
      </c>
      <c r="D8" s="6" t="s">
        <v>374</v>
      </c>
      <c r="E8" s="7" t="s">
        <v>375</v>
      </c>
    </row>
    <row r="9" customFormat="false" ht="48.75" hidden="false" customHeight="true" outlineLevel="0" collapsed="false">
      <c r="A9" s="6" t="s">
        <v>376</v>
      </c>
      <c r="B9" s="8" t="s">
        <v>377</v>
      </c>
    </row>
    <row r="10" customFormat="false" ht="48.75" hidden="false" customHeight="true" outlineLevel="0" collapsed="false">
      <c r="A10" s="6" t="s">
        <v>378</v>
      </c>
      <c r="B10" s="8" t="s">
        <v>379</v>
      </c>
    </row>
    <row r="11" customFormat="false" ht="48.75" hidden="false" customHeight="true" outlineLevel="0" collapsed="false">
      <c r="A11" s="6" t="s">
        <v>380</v>
      </c>
      <c r="B11" s="8" t="s">
        <v>381</v>
      </c>
    </row>
    <row r="12" customFormat="false" ht="48.75" hidden="false" customHeight="true" outlineLevel="0" collapsed="false">
      <c r="A12" s="6" t="s">
        <v>382</v>
      </c>
      <c r="B12" s="8" t="s">
        <v>383</v>
      </c>
    </row>
    <row r="13" customFormat="false" ht="48.75" hidden="false" customHeight="true" outlineLevel="0" collapsed="false">
      <c r="A13" s="6" t="s">
        <v>384</v>
      </c>
      <c r="B13" s="8" t="s">
        <v>385</v>
      </c>
    </row>
    <row r="14" customFormat="false" ht="48.75" hidden="false" customHeight="true" outlineLevel="0" collapsed="false">
      <c r="A14" s="6" t="s">
        <v>386</v>
      </c>
      <c r="B14" s="8" t="s">
        <v>387</v>
      </c>
    </row>
    <row r="15" customFormat="false" ht="48.75" hidden="false" customHeight="true" outlineLevel="0" collapsed="false">
      <c r="A15" s="6" t="s">
        <v>388</v>
      </c>
      <c r="B15" s="8" t="s">
        <v>389</v>
      </c>
    </row>
    <row r="18" customFormat="false" ht="14.25" hidden="false" customHeight="true" outlineLevel="0" collapsed="false">
      <c r="A18" s="4" t="s">
        <v>390</v>
      </c>
    </row>
    <row r="19" customFormat="false" ht="14.25" hidden="false" customHeight="true" outlineLevel="0" collapsed="false">
      <c r="A19" s="6" t="s">
        <v>57</v>
      </c>
      <c r="B19" s="8" t="s">
        <v>76</v>
      </c>
    </row>
    <row r="20" customFormat="false" ht="14.25" hidden="false" customHeight="true" outlineLevel="0" collapsed="false">
      <c r="A20" s="6" t="s">
        <v>48</v>
      </c>
      <c r="B20" s="8" t="s">
        <v>361</v>
      </c>
    </row>
    <row r="21" customFormat="false" ht="41.25" hidden="false" customHeight="true" outlineLevel="0" collapsed="false">
      <c r="A21" s="6" t="s">
        <v>364</v>
      </c>
      <c r="B21" s="8" t="s">
        <v>391</v>
      </c>
    </row>
    <row r="22" customFormat="false" ht="41.25" hidden="false" customHeight="true" outlineLevel="0" collapsed="false">
      <c r="A22" s="6" t="s">
        <v>368</v>
      </c>
      <c r="B22" s="8" t="s">
        <v>392</v>
      </c>
    </row>
    <row r="23" customFormat="false" ht="41.25" hidden="false" customHeight="true" outlineLevel="0" collapsed="false">
      <c r="A23" s="6" t="s">
        <v>372</v>
      </c>
      <c r="B23" s="8" t="s">
        <v>393</v>
      </c>
    </row>
    <row r="24" customFormat="false" ht="41.25" hidden="false" customHeight="true" outlineLevel="0" collapsed="false">
      <c r="A24" s="6" t="s">
        <v>376</v>
      </c>
      <c r="B24" s="8" t="s">
        <v>394</v>
      </c>
    </row>
    <row r="25" customFormat="false" ht="27.75" hidden="false" customHeight="true" outlineLevel="0" collapsed="false">
      <c r="A25" s="6" t="s">
        <v>395</v>
      </c>
      <c r="B25" s="8" t="s">
        <v>396</v>
      </c>
    </row>
    <row r="26" customFormat="false" ht="27.75" hidden="false" customHeight="true" outlineLevel="0" collapsed="false">
      <c r="A26" s="6" t="s">
        <v>397</v>
      </c>
      <c r="B26" s="8" t="s">
        <v>398</v>
      </c>
    </row>
    <row r="27" customFormat="false" ht="54.75" hidden="false" customHeight="true" outlineLevel="0" collapsed="false">
      <c r="A27" s="6" t="s">
        <v>399</v>
      </c>
      <c r="B27" s="8" t="s">
        <v>400</v>
      </c>
    </row>
    <row r="28" customFormat="false" ht="27.75" hidden="false" customHeight="true" outlineLevel="0" collapsed="false">
      <c r="A28" s="6" t="s">
        <v>384</v>
      </c>
      <c r="B28" s="8" t="s">
        <v>401</v>
      </c>
    </row>
    <row r="29" customFormat="false" ht="27.75" hidden="false" customHeight="true" outlineLevel="0" collapsed="false">
      <c r="A29" s="6" t="s">
        <v>386</v>
      </c>
      <c r="B29" s="8" t="s">
        <v>402</v>
      </c>
    </row>
    <row r="30" customFormat="false" ht="27.75" hidden="false" customHeight="true" outlineLevel="0" collapsed="false">
      <c r="A30" s="6" t="s">
        <v>388</v>
      </c>
      <c r="B30" s="8" t="s">
        <v>403</v>
      </c>
    </row>
  </sheetData>
  <mergeCells count="2">
    <mergeCell ref="A1:F1"/>
    <mergeCell ref="D3:F3"/>
  </mergeCells>
  <dataValidations count="1">
    <dataValidation allowBlank="false" errorStyle="stop" operator="between" showDropDown="false" showErrorMessage="false" showInputMessage="false" sqref="B4" type="list">
      <formula1>"Unit 1 / Phase 1,Phase 2,Phase 3,Final"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2026-08-26T12:09:00Z</dcterms:created>
  <dc:creator>openpyxl</dc:creator>
  <dc:description/>
  <dc:language>en-US</dc:language>
  <cp:lastModifiedBy/>
  <dcterms:modified xsi:type="dcterms:W3CDTF">2026-09-23T11:24:30Z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2EA657B9D2984658AD07E2FFA6DFDD31_12</vt:lpwstr>
  </property>
  <property fmtid="{D5CDD505-2E9C-101B-9397-08002B2CF9AE}" pid="4" name="KSOProductBuildVer">
    <vt:lpwstr>1033-12.1.0.28032</vt:lpwstr>
  </property>
</Properties>
</file>