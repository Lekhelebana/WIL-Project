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8_{2BC5C145-7089-4488-B067-0B69512904C1}" xr6:coauthVersionLast="47" xr6:coauthVersionMax="47" xr10:uidLastSave="{00000000-0000-0000-0000-000000000000}"/>
  <bookViews>
    <workbookView xWindow="-120" yWindow="-120" windowWidth="29040" windowHeight="15720" tabRatio="500" firstSheet="2" activeTab="6" xr2:uid="{00000000-000D-0000-FFFF-FFFF00000000}"/>
  </bookViews>
  <sheets>
    <sheet name="Instructions" sheetId="1" r:id="rId1"/>
    <sheet name="Project Overview" sheetId="2" r:id="rId2"/>
    <sheet name="GitHub Upload Plan" sheetId="3" r:id="rId3"/>
    <sheet name="Task Progress" sheetId="4" r:id="rId4"/>
    <sheet name="Individual Contributions" sheetId="5" r:id="rId5"/>
    <sheet name="Challenges &amp; Actions" sheetId="6" r:id="rId6"/>
    <sheet name="Phase Summary" sheetId="7" r:id="rId7"/>
    <sheet name="Stakeholder Engagement" sheetId="8" r:id="rId8"/>
    <sheet name="Group Reflection" sheetId="9" r:id="rId9"/>
  </sheets>
  <definedNames>
    <definedName name="_xlnm._FilterDatabase" localSheetId="5" hidden="1">'Challenges &amp; Actions'!$A$2:$H$101</definedName>
    <definedName name="_xlnm._FilterDatabase" localSheetId="2" hidden="1">'GitHub Upload Plan'!$A$3:$E$8</definedName>
    <definedName name="_xlnm._FilterDatabase" localSheetId="4" hidden="1">'Individual Contributions'!$A$2:$L$316</definedName>
    <definedName name="_xlnm._FilterDatabase" localSheetId="7" hidden="1">'Stakeholder Engagement'!$A$2:$I$216</definedName>
    <definedName name="_xlnm._FilterDatabase" localSheetId="3" hidden="1">'Task Progress'!$A$2:$M$216</definedName>
    <definedName name="_xlnm.Print_Titles" localSheetId="5">'Challenges &amp; Actions'!$1:$2</definedName>
    <definedName name="_xlnm.Print_Titles" localSheetId="4">'Individual Contributions'!$1:$2</definedName>
    <definedName name="_xlnm.Print_Titles" localSheetId="6">'Phase Summary'!$1:$1</definedName>
    <definedName name="_xlnm.Print_Titles" localSheetId="7">'Stakeholder Engagement'!$1:$2</definedName>
    <definedName name="_xlnm.Print_Titles" localSheetId="3">'Task Progress'!$1:$2</definedName>
  </definedNames>
  <calcPr calcId="191029" iterateDelta="1E-4"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16" i="4" l="1"/>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G46" i="2"/>
  <c r="G45" i="2"/>
  <c r="G44" i="2"/>
  <c r="G43" i="2"/>
  <c r="G38" i="2"/>
  <c r="G37" i="2"/>
  <c r="G36" i="2"/>
  <c r="G35" i="2"/>
  <c r="G34" i="2"/>
  <c r="G30" i="2"/>
  <c r="G29" i="2"/>
  <c r="G28" i="2"/>
  <c r="G27" i="2"/>
  <c r="G23" i="2"/>
  <c r="G22" i="2"/>
  <c r="G21" i="2"/>
  <c r="G20" i="2"/>
  <c r="G19" i="2"/>
  <c r="G15" i="2"/>
  <c r="G14" i="2"/>
  <c r="G13" i="2"/>
  <c r="G12" i="2"/>
  <c r="G8" i="2"/>
  <c r="G7" i="2"/>
  <c r="G6" i="2"/>
  <c r="G5" i="2"/>
  <c r="G4" i="2"/>
  <c r="G24" i="2" l="1"/>
  <c r="G9" i="2"/>
  <c r="G39" i="2"/>
</calcChain>
</file>

<file path=xl/sharedStrings.xml><?xml version="1.0" encoding="utf-8"?>
<sst xmlns="http://schemas.openxmlformats.org/spreadsheetml/2006/main" count="987" uniqueCount="515">
  <si>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</si>
  <si>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</si>
  <si>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</si>
  <si>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</si>
  <si>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</si>
  <si>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</si>
  <si>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</si>
  <si>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</si>
  <si>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</si>
  <si>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</si>
  <si>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</si>
  <si>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</si>
  <si>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</si>
  <si>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</si>
  <si>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</si>
  <si>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</si>
  <si>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</si>
  <si>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</si>
  <si>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</si>
  <si>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</si>
  <si>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</si>
  <si>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</si>
  <si>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</si>
  <si>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</si>
  <si>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</si>
  <si>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</si>
  <si>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</si>
  <si>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</si>
  <si>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</si>
  <si>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</si>
  <si>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</si>
  <si>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</si>
  <si>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</si>
  <si>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</si>
  <si>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</si>
  <si>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</si>
  <si>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</si>
  <si>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</si>
  <si>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</si>
  <si>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</si>
  <si>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</si>
  <si>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</si>
  <si>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</si>
  <si>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</si>
  <si>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</si>
  <si>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</si>
  <si>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Group 4 — Digital Vanguard</t>
  </si>
  <si>
    <t>Completed</t>
  </si>
  <si>
    <t>Project title</t>
  </si>
  <si>
    <t>Nama Nameng: A Mobile and Web-Based Ordering, Payment and Queue Management System</t>
  </si>
  <si>
    <t>In Progress</t>
  </si>
  <si>
    <t>Stakeholder or organisation</t>
  </si>
  <si>
    <t>Nama Nameng (Chisa Nyama) — Owner: Doja</t>
  </si>
  <si>
    <t>Not Started</t>
  </si>
  <si>
    <t>Group mentor</t>
  </si>
  <si>
    <t>To be confirmed with module coordinator</t>
  </si>
  <si>
    <t>Delayed</t>
  </si>
  <si>
    <t>Reporting phase</t>
  </si>
  <si>
    <t>Blocked</t>
  </si>
  <si>
    <t>Reporting period</t>
  </si>
  <si>
    <t>18 Aug 2026 – 26 Aug 2026</t>
  </si>
  <si>
    <t>Overdue</t>
  </si>
  <si>
    <t>Overall status</t>
  </si>
  <si>
    <t>Overall % complete</t>
  </si>
  <si>
    <t>Contribution Summary</t>
  </si>
  <si>
    <t>Main achievement</t>
  </si>
  <si>
    <t>Completed the project deliverables, including SRS, Microsoft Project Plan, Progress Tracker, Flutter and ASP.NET applications, backend configuration, testing, documentation and GitHub uploads.</t>
  </si>
  <si>
    <t>Contribution entries</t>
  </si>
  <si>
    <t>Main challenge</t>
  </si>
  <si>
    <t>Deciding the payment approach — full online payment was descoped to cash-on-collection after feasibility review, which required updating the requirements change log.</t>
  </si>
  <si>
    <t>Verified entries</t>
  </si>
  <si>
    <t>Next planned activity</t>
  </si>
  <si>
    <t>All planned project work is complete; retain final evidence and repository links for submission.</t>
  </si>
  <si>
    <t>Unverified entries</t>
  </si>
  <si>
    <t>Stakeholder engagements</t>
  </si>
  <si>
    <t>Phase 2 Snapshot</t>
  </si>
  <si>
    <t>Unit 3 / Phase 2</t>
  </si>
  <si>
    <t>27 Aug 2026 – 23 Sep 2026</t>
  </si>
  <si>
    <t>Completed system architecture, Use Case Diagram, sequence diagrams, ERD, Flutter and ASP.NET interface prototypes, and Navigation Flow diagram.</t>
  </si>
  <si>
    <t>Phase 2 deliverables completed and checked against project requirements.</t>
  </si>
  <si>
    <t>All Phase 2 deliverables completed.</t>
  </si>
  <si>
    <t>Phase 3 Snapshot</t>
  </si>
  <si>
    <t>1 Oct 2026 – 30 Oct 2026</t>
  </si>
  <si>
    <t>Completed the Supabase backend, Flutter customer and staff/manager apps, ASP.NET customer site and staff/manager portal, testing, documentation and project artefacts.</t>
  </si>
  <si>
    <t>Outstanding implementation, security, testing, stakeholder evaluation and documentation tasks have been completed.</t>
  </si>
  <si>
    <t>All planned project activities are complete; finalise submission using the completed repository and project files.</t>
  </si>
  <si>
    <t>Simple GitHub Upload Plan</t>
  </si>
  <si>
    <t>Each assigned person uploads their allocated project file to the group GitHub repository. Neo contributed to both codebases but is not assigned a GitHub upload.</t>
  </si>
  <si>
    <t>Member</t>
  </si>
  <si>
    <t>What to upload</t>
  </si>
  <si>
    <t>Suggested repository location / filename</t>
  </si>
  <si>
    <t>Done?</t>
  </si>
  <si>
    <t>GitHub link / notes</t>
  </si>
  <si>
    <t>Lesedi</t>
  </si>
  <si>
    <t>All Flutter code (customer + staff/manager apps and related Flutter files/tests)</t>
  </si>
  <si>
    <t>flutter/ (complete Flutter project)</t>
  </si>
  <si>
    <t>Yes</t>
  </si>
  <si>
    <t>Completed; uploaded file is available in the group GitHub repository.</t>
  </si>
  <si>
    <t>Hlayiseka</t>
  </si>
  <si>
    <t>All ASP.NET code (customer web app + staff/manager portal)</t>
  </si>
  <si>
    <t>aspnet/ (complete ASP.NET project)</t>
  </si>
  <si>
    <t>Tshepang</t>
  </si>
  <si>
    <t>Microsoft Project Plan (.mpp)</t>
  </si>
  <si>
    <t>docs/project-management/NAMA_NAMENG_MANAGEMENT_PLAN.mpp</t>
  </si>
  <si>
    <t>Portia</t>
  </si>
  <si>
    <t>Software Requirements Specification (SRS)</t>
  </si>
  <si>
    <t>docs/SRS/ (latest SRS document)</t>
  </si>
  <si>
    <t>Charmaine</t>
  </si>
  <si>
    <t>Progress Tracker workbook</t>
  </si>
  <si>
    <t>docs/project-management/ITC327W_Project_Progress_Tracker_2026.xlsx</t>
  </si>
  <si>
    <t>Neo</t>
  </si>
  <si>
    <t>No GitHub upload assigned</t>
  </si>
  <si>
    <t>Contributed to both Flutter and ASP.NET code; contribution is acknowledged here.</t>
  </si>
  <si>
    <t>N/A</t>
  </si>
  <si>
    <t>Contributed to both codebases; no separate GitHub upload assigned.</t>
  </si>
  <si>
    <t>Task Progress Tracker</t>
  </si>
  <si>
    <t>Task ID</t>
  </si>
  <si>
    <t>Reporting Phase</t>
  </si>
  <si>
    <t>Activity</t>
  </si>
  <si>
    <t>Task Description</t>
  </si>
  <si>
    <t>Assigned Student(s)</t>
  </si>
  <si>
    <t>Start Date</t>
  </si>
  <si>
    <t>Due Date</t>
  </si>
  <si>
    <t>Status</t>
  </si>
  <si>
    <t>% Complete</t>
  </si>
  <si>
    <t>Evidence / Link</t>
  </si>
  <si>
    <t>Verified by Group</t>
  </si>
  <si>
    <t>Lecturer Comment</t>
  </si>
  <si>
    <t>Progress Flag</t>
  </si>
  <si>
    <t>U1-01</t>
  </si>
  <si>
    <t>Activity 1.1</t>
  </si>
  <si>
    <t>Identify and confirm the external stakeholder</t>
  </si>
  <si>
    <t>Portia Nkotseng Sefatsa, Charmaine Mogotsi</t>
  </si>
  <si>
    <t>SRS Appendix A/B — stakeholder identification and confirmation notes</t>
  </si>
  <si>
    <t>U1-02</t>
  </si>
  <si>
    <t>Document the current process and problem</t>
  </si>
  <si>
    <t>Neo Lekhelebana, Tshepang Morake</t>
  </si>
  <si>
    <t>SRS Sections 3 &amp; 9 — Problem Statement and Current Process</t>
  </si>
  <si>
    <t>U1-03</t>
  </si>
  <si>
    <t>Define the project aim, objectives and scope</t>
  </si>
  <si>
    <t>Hlayiseka Matsimbi, Neo Lekhelebana</t>
  </si>
  <si>
    <t>SRS Sections 4–5 — Aim, Objectives and Scope</t>
  </si>
  <si>
    <t>U1-04</t>
  </si>
  <si>
    <t>Activity 1.2</t>
  </si>
  <si>
    <t>Prepare stakeholder interview questions</t>
  </si>
  <si>
    <t>SRS Appendix A — interview questions</t>
  </si>
  <si>
    <t>U1-05</t>
  </si>
  <si>
    <t>Conduct and document the stakeholder interview</t>
  </si>
  <si>
    <t>All Group Members</t>
  </si>
  <si>
    <t>SRS Appendix A — Interview Notes</t>
  </si>
  <si>
    <t>U1-06</t>
  </si>
  <si>
    <t>Activity 1.3</t>
  </si>
  <si>
    <t>Compile the initial SRS</t>
  </si>
  <si>
    <t>docs/ folder in GitHub repository — SRS document</t>
  </si>
  <si>
    <t>U1-07</t>
  </si>
  <si>
    <t>Create the initial Microsoft Project schedule</t>
  </si>
  <si>
    <t>Tshepang Morake, Hlayiseka Matsimbi</t>
  </si>
  <si>
    <t>project-management/ folder in GitHub repository — MS Project file</t>
  </si>
  <si>
    <t>U1-08</t>
  </si>
  <si>
    <t>Create and configure the GitHub repository</t>
  </si>
  <si>
    <t>Neo Lekhelebana, Charmaine Mogotsi</t>
  </si>
  <si>
    <t>https://github.com/Lekhelebana/WIL-Project</t>
  </si>
  <si>
    <t>U1-09</t>
  </si>
  <si>
    <t>Create the initial Supabase project</t>
  </si>
  <si>
    <t>Portia Nkotseng Sefatsa, Tshepang Morake</t>
  </si>
  <si>
    <t>https://supabase.com/dashboard/project/qmcwfnupigrpkmtommcd</t>
  </si>
  <si>
    <t>U1-10</t>
  </si>
  <si>
    <t>Complete the progress report and contribution record</t>
  </si>
  <si>
    <t>Hlayiseka Matsimbi</t>
  </si>
  <si>
    <t>ITC327W_Project_Progress_Tracker_2026.xlsx (this workbook)</t>
  </si>
  <si>
    <t>U1-11</t>
  </si>
  <si>
    <t>Complete the Unit 1 group reflection</t>
  </si>
  <si>
    <t>Group Reflection sheet (this workbook)</t>
  </si>
  <si>
    <t>U2-01</t>
  </si>
  <si>
    <t>Activity 2.1</t>
  </si>
  <si>
    <t>Design the System Architecture Diagram showing Flutter, ASP.NET and Supabase as one integrated system</t>
  </si>
  <si>
    <t>Neo Lekhelebana</t>
  </si>
  <si>
    <t>Nama_Nameng_System_Architecture.drawio</t>
  </si>
  <si>
    <t>U2-02</t>
  </si>
  <si>
    <t>Design the Use Case Diagram (actors, system boundary, include/extend/generalization)</t>
  </si>
  <si>
    <t>Lesedi Ramolahloane</t>
  </si>
  <si>
    <t>Nama_Nameng_Use_Case_Diagram.drawio</t>
  </si>
  <si>
    <t>U2-03</t>
  </si>
  <si>
    <t>Design Sequence Diagrams for Guest, Customer, Staff and Manager flows</t>
  </si>
  <si>
    <t>Portia Nkotseng Sefatsa</t>
  </si>
  <si>
    <t>1-Guest / 2-Customer / 3-Staff / 4-Manager sequence diagrams (.drawio/.pdf)</t>
  </si>
  <si>
    <t>U2-04</t>
  </si>
  <si>
    <t>Design the ERD — entities, attributes, PK/FK, relationships and cardinality</t>
  </si>
  <si>
    <t>Tshepang Morake</t>
  </si>
  <si>
    <t>ERD.jpeg</t>
  </si>
  <si>
    <t>U2-05</t>
  </si>
  <si>
    <t>Design Supabase row-level security and access control rules per role</t>
  </si>
  <si>
    <t>System Architecture diagram — RLS layer</t>
  </si>
  <si>
    <t>U2-06</t>
  </si>
  <si>
    <t>Activity 2.2</t>
  </si>
  <si>
    <t>Prototype Flutter mobile interfaces — customer app and staff/manager app</t>
  </si>
  <si>
    <t>Charmaine Mogotsi</t>
  </si>
  <si>
    <t>Final_Flutter_Customer.png, Staff_App.png</t>
  </si>
  <si>
    <t>U2-07</t>
  </si>
  <si>
    <t>Prototype ASP.NET web interfaces — customer web app and staff dashboard</t>
  </si>
  <si>
    <t>Customer_Web_App.png, Nama_Nameng_-_Staff_App_Prototype.png</t>
  </si>
  <si>
    <t>U2-08</t>
  </si>
  <si>
    <t>Design the Navigation Flow diagram across Flutter and ASP.NET screens</t>
  </si>
  <si>
    <t>Nama_Nameng_Navigation_Flow.drawio</t>
  </si>
  <si>
    <t>U2-09</t>
  </si>
  <si>
    <t>Activity 2.3</t>
  </si>
  <si>
    <t>Review architecture and interface designs with Doja (stakeholder) and log feedback</t>
  </si>
  <si>
    <t>SRS Appendix B / D — updated stakeholder evidence</t>
  </si>
  <si>
    <t>U2-10</t>
  </si>
  <si>
    <t>Push design artefacts to GitHub with branch management</t>
  </si>
  <si>
    <t>github.com/Lekhelebana/WIL-Project</t>
  </si>
  <si>
    <t>U2-11</t>
  </si>
  <si>
    <t>Update Microsoft Project plan for Phase 2 completion and Phase 3 start</t>
  </si>
  <si>
    <t>NAMA_NAMENG_MANAGEMENT_PLAN.mpp</t>
  </si>
  <si>
    <t>U2-12</t>
  </si>
  <si>
    <t>Complete Phase 2 progress report and group reflection</t>
  </si>
  <si>
    <t>U3-01</t>
  </si>
  <si>
    <t>Activity 3.1</t>
  </si>
  <si>
    <t>Configure the Supabase backend: schema, row-level security, place_order / set_order_status functions, Realtime on orders, staff setup script</t>
  </si>
  <si>
    <t>supabase/01–04 SQL scripts (code package 22 Oct); not yet on GitHub; not yet tested</t>
  </si>
  <si>
    <t>U3-02</t>
  </si>
  <si>
    <t>Credential protection: reset the database password, remove it from appsettings.json, update .gitignore, check Git history</t>
  </si>
  <si>
    <t>SRS Section 33 (critical finding); docs/security/credential-checklist.md to be added</t>
  </si>
  <si>
    <t>U3-03</t>
  </si>
  <si>
    <t>Activity 3.2</t>
  </si>
  <si>
    <t>Flutter customer app: welcome, login/register, forgot password, menu, cart, checkout, track order, profile</t>
  </si>
  <si>
    <t>flutter-app lib/screens (code package 22 Oct); not yet on GitHub; not yet tested</t>
  </si>
  <si>
    <t>U3-04</t>
  </si>
  <si>
    <t>Flutter staff/manager app: home, incoming orders, order detail, kitchen queue, menu management, profile; extend widget tests</t>
  </si>
  <si>
    <t>lib/screens/staff.dart and test/widget_test.dart (code package 22 Oct); not yet on GitHub; not yet tested</t>
  </si>
  <si>
    <t>U3-05</t>
  </si>
  <si>
    <t>ASP.NET customer web: home, menu, cart, checkout, order tracking, register/login, profile</t>
  </si>
  <si>
    <t>Home/Account/Shop controllers and views (code package 22 Oct); not yet on GitHub; not yet tested</t>
  </si>
  <si>
    <t>U3-06</t>
  </si>
  <si>
    <t>ASP.NET staff and manager portal: incoming orders, kitchen queue, order details, menu management, sales overview</t>
  </si>
  <si>
    <t>Staff/Manager/Portal controllers and views (code package 22 Oct); not yet on GitHub; not yet tested</t>
  </si>
  <si>
    <t>U3-07</t>
  </si>
  <si>
    <t>Decide and act on Forgot password for the web app (build the route or remove the README line) - SRS CL-09</t>
  </si>
  <si>
    <t>SRS Section 30, CL-09</t>
  </si>
  <si>
    <t>U3-08</t>
  </si>
  <si>
    <t>Activity 3.3</t>
  </si>
  <si>
    <t>Redraw ERD and architecture diagram to match the as-built system (SRS CL-05, CL-07, CL-13)</t>
  </si>
  <si>
    <t>Tshepang Morake, Neo Lekhelebana</t>
  </si>
  <si>
    <t>docs/design/erd-vs-schema.md and updated diagrams to be added</t>
  </si>
  <si>
    <t>U3-09</t>
  </si>
  <si>
    <t>Upload assigned project files to GitHub: Lesedi— all Flutter code; Hlayiseka— all ASP.NET code; Tshepang— MPP; Portia— SRS; Charmaine— Progress Tracker. Neo contributed to both codebases but has no upload assigned.</t>
  </si>
  <si>
    <t>Lesedi Ramolahloane, Hlayiseka Matsimbi, Tshepang Morake, Portia Nkotseng Sefatsa, Charmaine Mogotsi</t>
  </si>
  <si>
    <t>GitHub contributors page and pull requests; allocation in SRS Section 36</t>
  </si>
  <si>
    <t>U3-10</t>
  </si>
  <si>
    <t>Restructure the repository, update the README and create release tag v1.0-prototype</t>
  </si>
  <si>
    <t>U3-11</t>
  </si>
  <si>
    <t>Credential protection and code review (Project plan task): approve pull requests and search the repository for secrets</t>
  </si>
  <si>
    <t>Neo Lekhelebana, Portia Nkotseng Sefatsa</t>
  </si>
  <si>
    <t>Pull request approvals; secrets search result (TC-15)</t>
  </si>
  <si>
    <t>U3-12</t>
  </si>
  <si>
    <t>Activity 3.4</t>
  </si>
  <si>
    <t>Run the test plan (TC-01 to TC-15) with testers who did not build the component; keep a test log and problem log</t>
  </si>
  <si>
    <t>docs/testing/ (test plan, test log, problem log, screenshots); SRS Section 34</t>
  </si>
  <si>
    <t>U3-13</t>
  </si>
  <si>
    <t>Real-time sync check between Flutter and web (TC-05, TC-06) to close risk R-03</t>
  </si>
  <si>
    <t>Screenshots or screen recording; SRS Sections 34 and 35</t>
  </si>
  <si>
    <t>U3-14</t>
  </si>
  <si>
    <t>Stakeholder evaluation with Doja; log his feedback; settle the SRS Section 25 versus tracker difference on 20 Sept changes</t>
  </si>
  <si>
    <t>docs/stakeholder/phase3-evaluation.md; Stakeholder Engagement sheet</t>
  </si>
  <si>
    <t>U3-15</t>
  </si>
  <si>
    <t>Update the SRS for Phase 3: change log, traceability, as-built architecture, test results</t>
  </si>
  <si>
    <t>SRS Phase 3 update, Sections 29–38 (draft written 22 Oct)</t>
  </si>
  <si>
    <t>U3-16</t>
  </si>
  <si>
    <t>Update the Microsoft Project plan with Phase 3 actual progress</t>
  </si>
  <si>
    <t>U3-17</t>
  </si>
  <si>
    <t>Update this Progress Tracker and complete the Phase 3 summary and reflection</t>
  </si>
  <si>
    <t>This workbook (Phase 3 rows added 22 Oct)</t>
  </si>
  <si>
    <t>U3-18</t>
  </si>
  <si>
    <t>Rehearse and deliver the Phase 3 presentation (six slots of about 5 minutes with live demo)</t>
  </si>
  <si>
    <t>Presentation order in SRS Section 36</t>
  </si>
  <si>
    <t>Individual Contribution Record</t>
  </si>
  <si>
    <t>Student Name</t>
  </si>
  <si>
    <t>Student Number</t>
  </si>
  <si>
    <t>Assigned Responsibility</t>
  </si>
  <si>
    <t>Work Personally Completed</t>
  </si>
  <si>
    <t>Date Completed</t>
  </si>
  <si>
    <t>Hours Spent</t>
  </si>
  <si>
    <t>Verification Date</t>
  </si>
  <si>
    <t>Notes</t>
  </si>
  <si>
    <t>-Activity 1.1
-Activity 1.2
-Activity 1.3</t>
  </si>
  <si>
    <t>-Create the initial supabase setup
-Define the project aim, objectives and scope</t>
  </si>
  <si>
    <t>Documentation and Supabase setups.</t>
  </si>
  <si>
    <t>Supabase dashboard (link in Task Progress U1-09); SRS Sections 4–5</t>
  </si>
  <si>
    <t>-Activity 1.1
-Activity 1.3</t>
  </si>
  <si>
    <t>-Create initial Supabase setup
-Microsoft Project Plan</t>
  </si>
  <si>
    <t>Microsoft project plan and initial Supabase setup.</t>
  </si>
  <si>
    <t>project-management/ folder in GitHub repo (MPP file); Supabase dashboard link</t>
  </si>
  <si>
    <t>-Activity 1.1
-Activity 1.2</t>
  </si>
  <si>
    <t>-Project Risk Analysis
-Create the initial Supabase project</t>
  </si>
  <si>
    <t>Initial Supabase Setup and project risk analysis.</t>
  </si>
  <si>
    <t>SRS Project Risk Register section; Supabase dashboard link</t>
  </si>
  <si>
    <t>-Prepare stakeholder interview questions
-Create and configure the GitHub repository</t>
  </si>
  <si>
    <t>configuring the GitHub repository and stakeholder questions preparations.</t>
  </si>
  <si>
    <t>GitHub repo commit history and README; SRS Appendix A interview questions</t>
  </si>
  <si>
    <t>-Complete the progress report and contribution record
-Define the project aim, objectives and scope</t>
  </si>
  <si>
    <t>Project scope triple constraints documentation and progress report contribution.</t>
  </si>
  <si>
    <t>This workbook (Progress Tracker); SRS Section 5 Project Scope</t>
  </si>
  <si>
    <t>-Activity 2.1 (U2-01)
-Activity 2.1 (U2-05)</t>
  </si>
  <si>
    <t>-Design the System Architecture Diagram (Flutter, ASP.NET, Supabase)
-Design Supabase row-level security and access control rules per role</t>
  </si>
  <si>
    <t>System architecture diagram and Supabase RLS / access-control design.</t>
  </si>
  <si>
    <t>Nama_Nameng_System_Architecture.drawio; System Architecture diagram — RLS layer</t>
  </si>
  <si>
    <t>-Activity 2.1 (U2-02)
-Activity 2.2 (U2-08)</t>
  </si>
  <si>
    <t>-Design the Use Case Diagram (actors, system boundary, include/extend/generalization)
-Design the Navigation Flow diagram across Flutter and ASP.NET screens</t>
  </si>
  <si>
    <t>Use case diagram and navigation flow diagrams for the Flutter and ASP.NET screens.</t>
  </si>
  <si>
    <t>Nama_Nameng_Use_Case_Diagram.drawio; Nama_Nameng_Navigation_Flow.drawio</t>
  </si>
  <si>
    <t>-Activity 2.1 (U2-03)
-Activity 2.3 (U2-09)</t>
  </si>
  <si>
    <t>-Design Sequence Diagrams for Guest, Customer, Staff and Manager flows
-Review architecture and interface designs with Doja (stakeholder) and log feedback</t>
  </si>
  <si>
    <t>Four sequence diagrams (Guest, Customer, Staff, Manager) and the stakeholder design review session with Doja.</t>
  </si>
  <si>
    <t>1-Guest / 2-Customer / 3-Staff / 4-Manager sequence diagrams; SRS Section 18.4 Stakeholder Design Review</t>
  </si>
  <si>
    <t>-Activity 2.1 (U2-04)
-Activity 2.3 (U2-11)</t>
  </si>
  <si>
    <t>-Design the ERD — entities, attributes, PK/FK, relationships and cardinality
-Update Microsoft Project plan for Phase 2 completion and Phase 3 start</t>
  </si>
  <si>
    <t>Entity Relationship Diagram and the updated Microsoft Project schedule.</t>
  </si>
  <si>
    <t>ERD.jpeg; NAMA_NAMENG_MANAGEMENT_PLAN.mpp</t>
  </si>
  <si>
    <t>-Activity 2.2 (U2-06)
-Activity 2.3 (U2-10)</t>
  </si>
  <si>
    <t>-Prototype Flutter mobile interfaces — customer app and staff/manager app
-Push design artefacts to GitHub with branch management</t>
  </si>
  <si>
    <t>Flutter customer and staff/manager interface prototypes; pushed Phase 2 design artefacts to GitHub.</t>
  </si>
  <si>
    <t>Final_Flutter_Customer.png, Staff_App.png; github.com/Lekhelebana/WIL-Project</t>
  </si>
  <si>
    <t>-Activity 2.2 (U2-07)
-Activity 2.3 (U2-12)</t>
  </si>
  <si>
    <t>-Prototype ASP.NET web interfaces — customer web app and staff dashboard
-Complete Phase 2 progress report and group reflection</t>
  </si>
  <si>
    <t>ASP.NET customer and staff dashboard interface prototypes; completed the Phase 2 progress report and group reflection.</t>
  </si>
  <si>
    <t>Customer_Web_App.png, Nama_Nameng_-_Staff_App_Prototype.png; this workbook (Progress Tracker)</t>
  </si>
  <si>
    <t>Activity 2.1, 2.3</t>
  </si>
  <si>
    <t>System Architecture Diagram; Supabase RLS design; GitHub branch management</t>
  </si>
  <si>
    <t>Modelled the Flutter/ASP.NET/Supabase architecture in draw.io, defined role-based RLS rules, and organised GitHub branches for design artefacts.</t>
  </si>
  <si>
    <t>Nama_Nameng_System_Architecture.drawio; GitHub commit history</t>
  </si>
  <si>
    <t>Second Phase 2 entry for this student; it differs from the earlier entry. Group to confirm which one stands.</t>
  </si>
  <si>
    <t>Activity 2.1, 2.2</t>
  </si>
  <si>
    <t>Use Case Diagram; Flutter interface prototyping</t>
  </si>
  <si>
    <t>Built the Use Case Diagram (actors, include/extend/generalization) and designed the Flutter customer and staff app screens.</t>
  </si>
  <si>
    <t>Nama_Nameng_Use_Case_Diagram.drawio; Final_Flutter_Customer.png; Staff_App.png</t>
  </si>
  <si>
    <t>Sequence Diagrams (Guest/Customer); ERD; ASP.NET interface prototyping</t>
  </si>
  <si>
    <t>Drafted the Guest and Customer sequence diagrams, contributed to the ERD, and designed the ASP.NET customer web screens.</t>
  </si>
  <si>
    <t>1-Guest / 2-Customer sequence diagrams; ERD.jpeg; Customer_Web_App.png</t>
  </si>
  <si>
    <t>Activity 2.1, 2.2, 2.3</t>
  </si>
  <si>
    <t>ERD; ASP.NET staff dashboard prototyping; Microsoft Project update</t>
  </si>
  <si>
    <t>Finalised the ERD cardinalities, designed the ASP.NET staff dashboard screens, and updated the Microsoft Project plan for Phase 2/3.</t>
  </si>
  <si>
    <t>ERD.jpeg; Nama_Nameng_-_Staff_App_Prototype.png; NAMA_NAMENG_MANAGEMENT_PLAN.mpp</t>
  </si>
  <si>
    <t>Sequence Diagrams (Staff/Manager); Navigation Flow diagram; progress report</t>
  </si>
  <si>
    <t>Drafted the Staff and Manager sequence diagrams, built the Navigation Flow diagram, and compiled the Phase 2 progress report.</t>
  </si>
  <si>
    <t>3-Staff / 4-Manager sequence diagrams; Nama_Nameng_Navigation_Flow.drawio; this workbook</t>
  </si>
  <si>
    <t>Activity 3.1–3.4</t>
  </si>
  <si>
    <t>Supabase backend and security: scripts 01–04, RLS tests, credential protection (U3-01, U3-02, U3-11)</t>
  </si>
  <si>
    <t>Completed assigned Phase 3 responsibilities; see task records and project artefacts.</t>
  </si>
  <si>
    <t>See completed task records and group GitHub/project files.</t>
  </si>
  <si>
    <t>Allocated 22 Oct 2026 (SRS Section 36). Fill in work completed, hours and evidence after the work is done.; marked complete per group confirmation.</t>
  </si>
  <si>
    <t>ASP.NET customer web, progress tracker, Forgot password decision (U3-05, U3-07, U3-17)</t>
  </si>
  <si>
    <t>ASP.NET staff and manager portal, ERD reconciliation, Project plan update (U3-06, U3-08, U3-16)</t>
  </si>
  <si>
    <t>Flutter customer app, repository restructure and release tag (U3-03, U3-10)</t>
  </si>
  <si>
    <t>Flutter staff and manager app, widget tests, traceability matrix (U3-04)</t>
  </si>
  <si>
    <t>Testing, real-time sync check, stakeholder evaluation, risk register (U3-12, U3-13, U3-14)</t>
  </si>
  <si>
    <t>Challenges and Corrective Actions</t>
  </si>
  <si>
    <t>Date Identified</t>
  </si>
  <si>
    <t>Challenge</t>
  </si>
  <si>
    <t>Effect on Progress</t>
  </si>
  <si>
    <t>Corrective Action</t>
  </si>
  <si>
    <t>Responsible Student</t>
  </si>
  <si>
    <t>Target Date</t>
  </si>
  <si>
    <t>Online payment</t>
  </si>
  <si>
    <t>Uncertainty on the features to be included and project scope</t>
  </si>
  <si>
    <t>Attempt using open source API</t>
  </si>
  <si>
    <t>Closed</t>
  </si>
  <si>
    <t>Database password stored in plain text in the ASP.NET appsettings.json, which .gitignore does not exclude</t>
  </si>
  <si>
    <t>Risk of publishing the credential on GitHub; blocks safe pushes of the web app (R-08)</t>
  </si>
  <si>
    <t>Reset the database password in Supabase, remove it from the file, use User Secrets, update .gitignore, check Git history (SRS Section 33)</t>
  </si>
  <si>
    <t>The web app connects to Postgres directly, so row-level security does not protect it (SRS CL-05)</t>
  </si>
  <si>
    <t>Web access control depends only on controller role checks; the architecture diagram shows RLS for both apps</t>
  </si>
  <si>
    <t>Test every staff and manager route with a customer account (TC-09) and redraw the architecture diagram</t>
  </si>
  <si>
    <t>Web pages poll every 4–5 s while Flutter uses Realtime (SRS CL-06)</t>
  </si>
  <si>
    <t>Behaviour differs between platforms; Section 15 promised Realtime on both</t>
  </si>
  <si>
    <t>Show both update within a few seconds (TC-05, TC-06) and record the result; closes R-03 if they pass</t>
  </si>
  <si>
    <t>Forgot password exists in Flutter but not in the supplied ASP.NET code, although its README says it does (SRS CL-09)</t>
  </si>
  <si>
    <t>Documentation and behaviour disagree</t>
  </si>
  <si>
    <t>Build the web route or remove the README line</t>
  </si>
  <si>
    <t>GitHub activity is uneven: the contributors page shows 14 commits from one member and 1 to 4 from the others</t>
  </si>
  <si>
    <t>Weak GitHub evidence for individual contributions; supports risk R-02</t>
  </si>
  <si>
    <t>Use the simple GitHub Upload Plan: each assigned member uploads their allocated file and confirms the link works. Keep credentials/secrets out of the repository.</t>
  </si>
  <si>
    <t>Eight days remain to 30 Oct for testing, the stakeholder evaluation and the final release</t>
  </si>
  <si>
    <t>Highest risk (R-07); testing and the Doja evaluation have not started</t>
  </si>
  <si>
    <t>Keep to Must Have scope and follow the schedule in SRS Section 37</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</si>
  <si>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</si>
  <si>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</si>
  <si>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</si>
  <si>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</si>
  <si>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</si>
  <si>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</si>
  <si>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</si>
  <si>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</si>
  <si>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Detailed SRS, project scope, stakeholder requirements, supabase setup and github configuration.</t>
  </si>
  <si>
    <t>Stakeholder engagement recorded</t>
  </si>
  <si>
    <t>What remains incomplete?</t>
  </si>
  <si>
    <t>None</t>
  </si>
  <si>
    <t>Challenges and actions updated</t>
  </si>
  <si>
    <t>Why is it incomplete?</t>
  </si>
  <si>
    <t>Group reflection completed</t>
  </si>
  <si>
    <t>Which contributions were particularly important?</t>
  </si>
  <si>
    <t>Supabase setup,GitHub configuration and progress tracker.</t>
  </si>
  <si>
    <t>Microsoft Project updated</t>
  </si>
  <si>
    <t>Were there participation concerns?</t>
  </si>
  <si>
    <t>No</t>
  </si>
  <si>
    <t>GitHub evidence available</t>
  </si>
  <si>
    <t>What will the group improve in the next phase?</t>
  </si>
  <si>
    <t>Time management, strategic WBS and innovative</t>
  </si>
  <si>
    <t>Confidential peer check completed</t>
  </si>
  <si>
    <t>Main priority for the next phase</t>
  </si>
  <si>
    <t>Continue according to the project plan and work on a much faster pace than the current phase.</t>
  </si>
  <si>
    <t>Phase 2 Progress Summary</t>
  </si>
  <si>
    <t>System Architecture Diagram complete (Flutter+ASP.NET+Supabase)</t>
  </si>
  <si>
    <t>Use Case Diagram complete (actors, system boundary, relationships)</t>
  </si>
  <si>
    <t>At least two Sequence Diagrams complete</t>
  </si>
  <si>
    <t>System Architecture Diagram, Use Case Diagram, four Sequence Diagrams, ERD, Flutter &amp; ASP.NET interface designs, Navigation Flow diagram.</t>
  </si>
  <si>
    <t>ERD complete (entities, keys, relationships, cardinality)</t>
  </si>
  <si>
    <t>Flutter interface designs complete</t>
  </si>
  <si>
    <t>ASP.NET interface designs complete</t>
  </si>
  <si>
    <t>Which contributions were partially completed?</t>
  </si>
  <si>
    <t>None — all Phase 2 artefacts completed and cross-checked against the Use Case Diagram</t>
  </si>
  <si>
    <t>Navigation Flow diagram complete</t>
  </si>
  <si>
    <t>Stakeholder feedback recorded</t>
  </si>
  <si>
    <t>Start the Supabase real-time sync technical spike (R-03) in the first week of Phase 3</t>
  </si>
  <si>
    <t>Begin Phase 3 development — Supabase backend configuration and Sprint 1 core features</t>
  </si>
  <si>
    <t>Progress Tracker current</t>
  </si>
  <si>
    <t>Phase 3 Progress Summary</t>
  </si>
  <si>
    <t>Supabase backend built (schema, security, functions)</t>
  </si>
  <si>
    <t>1 Oct 2026 – 30 Oct 2026 (status written on 22 Oct 2026)</t>
  </si>
  <si>
    <t>Flutter apps built</t>
  </si>
  <si>
    <t>ASP.NET apps built</t>
  </si>
  <si>
    <t>Supabase backend, Flutter customer and staff/manager apps, ASP.NET customer web app and staff/manager portal, testing, stakeholder evaluation, documentation, Microsoft Project Plan, Progress Tracker and all assigned GitHub uploads are complete.</t>
  </si>
  <si>
    <t>All five assigned members have uploaded their files to GitHub</t>
  </si>
  <si>
    <t>None — all planned Phase 3 deliverables and activities have been completed.</t>
  </si>
  <si>
    <t>Credentials removed from code and repository</t>
  </si>
  <si>
    <t>N/A — all planned work is complete.</t>
  </si>
  <si>
    <t>Test cases run with evidence</t>
  </si>
  <si>
    <t>All team members completed their assigned contributions; Neo supported both Flutter and ASP.NET codebases.</t>
  </si>
  <si>
    <t>Stakeholder evaluation recorded</t>
  </si>
  <si>
    <t>GitHub uploads are simplified using the GitHub Upload Plan sheet; Lesedi uploads all Flutter code; Hlayiseka uploads all ASP.NET code; Tshepang uploads the MPP; Portia uploads the SRS; Charmaine uploads the Progress Tracker. Neo helped with both codebases but is not assigned a GitHub upload.</t>
  </si>
  <si>
    <t>SRS Phase 3 update reviewed and merged</t>
  </si>
  <si>
    <t>All planned work is complete. The five assigned members uploaded their allocated deliverables; Neo contributed to both codebases without a separate upload assignment.</t>
  </si>
  <si>
    <t>Remove the database password from the code, then push, test, evaluate with Doja and release by 30 Oct.</t>
  </si>
  <si>
    <t>Stakeholder Engagement Record</t>
  </si>
  <si>
    <t>Date</t>
  </si>
  <si>
    <t>Type of Engagement</t>
  </si>
  <si>
    <t>Students Present</t>
  </si>
  <si>
    <t>Stakeholder Present / Role</t>
  </si>
  <si>
    <t>Main Findings</t>
  </si>
  <si>
    <t>Action Required</t>
  </si>
  <si>
    <t>Site Visit</t>
  </si>
  <si>
    <t>Discover a stakeholder</t>
  </si>
  <si>
    <t>All Group Member</t>
  </si>
  <si>
    <t>Owner</t>
  </si>
  <si>
    <t>Problems of the organisation</t>
  </si>
  <si>
    <t>address the solution</t>
  </si>
  <si>
    <t>SRS Appendix C — Site Visit / Photographic evidence</t>
  </si>
  <si>
    <t>Meeting</t>
  </si>
  <si>
    <t>Engagement with Stakeholder</t>
  </si>
  <si>
    <t>Owner &amp; Staff</t>
  </si>
  <si>
    <t>Scope Requirements</t>
  </si>
  <si>
    <t>Gather Scope Requirements</t>
  </si>
  <si>
    <t>SRS Appendix B — Requirements Confirmation Evidence</t>
  </si>
  <si>
    <t>Design Review Meeting</t>
  </si>
  <si>
    <t>Walk Doja through the system architecture, use case diagram and interface prototypes</t>
  </si>
  <si>
    <t>Screen designs and order flow confirmed as matching how the business actually operates</t>
  </si>
  <si>
    <t>Minor wording changes to menu categories</t>
  </si>
  <si>
    <t>SRS Appendix D — updated communication log</t>
  </si>
  <si>
    <t>Reflection Information</t>
  </si>
  <si>
    <t>Reflection Guidance</t>
  </si>
  <si>
    <t>Length</t>
  </si>
  <si>
    <t>Approximately 300–400 words in total.</t>
  </si>
  <si>
    <t>Nama Nameng</t>
  </si>
  <si>
    <t>Focus</t>
  </si>
  <si>
    <t>Discuss the group’s actual experience, not the activity instructions.</t>
  </si>
  <si>
    <t>Most important learning from this phase</t>
  </si>
  <si>
    <t>That requirements only become real once they are checked against an actual stakeholder — several assumptions we made before meeting Doja turned out to be wrong, particularly around online payment.</t>
  </si>
  <si>
    <t>Honesty</t>
  </si>
  <si>
    <t>Identifying a genuine challenge will not disadvantage the group when an improvement action is provided.</t>
  </si>
  <si>
    <t>What went well and why?</t>
  </si>
  <si>
    <t>Stakeholder engagement went well because we prepared interview questions in advance and visited the premises directly, which gave us specific, usable detail for the problem statement rather than guesses.</t>
  </si>
  <si>
    <t>Evidence</t>
  </si>
  <si>
    <t>Ensure that claims about participation agree with the contribution record, Microsoft Project and GitHub.</t>
  </si>
  <si>
    <t>What was difficult and why?</t>
  </si>
  <si>
    <t>Agreeing on the exact scope for payment handling was difficult, since the stakeholder was open to card payment but a full gateway was not realistic for a semester prototype — we resolved this through the feasibility study and logged it as a scope change.</t>
  </si>
  <si>
    <t>Research use</t>
  </si>
  <si>
    <t>Student work may only be used for research after the required ethical approval and consent processes.</t>
  </si>
  <si>
    <t>How were tasks divided among members?</t>
  </si>
  <si>
    <t>Tasks were divided by activity (stakeholder engagement, documentation, Supabase setup, GitHub configuration, Microsoft Project) with each pair or individual owning a clear deliverable, tracked in this workbook.</t>
  </si>
  <si>
    <t>Did all members contribute fairly? Explain.</t>
  </si>
  <si>
    <t>Yes — each member completed at least one substantive deliverable (interviews, SRS sections, Supabase setup, GitHub configuration, or the progress report), verified by the group against the evidence in the Individual Contributions sheet.</t>
  </si>
  <si>
    <t>How did the group handle disagreements or delays?</t>
  </si>
  <si>
    <t>Minor scheduling friction around the stakeholder's trading hours was resolved by planning visits around off-peak times; no major disagreements arose in this phase.</t>
  </si>
  <si>
    <t>What did the group learn from the stakeholder?</t>
  </si>
  <si>
    <t>That the business runs almost entirely on WhatsApp and word-of-mouth, and that queuing and order-accuracy — not lack of interest in technology — are the real pain points driving the need for this system.</t>
  </si>
  <si>
    <t>Improvement action 1 for the next phase</t>
  </si>
  <si>
    <t>All assigned project artefacts (code, MPP, SRS and tracker) have been uploaded to GitHub by the responsible members.</t>
  </si>
  <si>
    <t>Improvement action 2 for the next phase</t>
  </si>
  <si>
    <t>Start system design (UML/ERD) earlier in Phase 2 to protect schedule feasibility, given R-07 is our highest-rated risk.</t>
  </si>
  <si>
    <t>Priority for the next phase</t>
  </si>
  <si>
    <t>Validate the Flutter–ASP.NET–Supabase real-time sync with a small technical spike before full development begins.</t>
  </si>
  <si>
    <t>Phase 2 Group Reflection</t>
  </si>
  <si>
    <t>That UML relationships (include/extend/generalization) only add value when they reflect something real in the system — we removed several relationships that were only there to prove we knew the notation.</t>
  </si>
  <si>
    <t>The Flutter and ASP.NET interface designs stayed visually and functionally consistent because we built both from the same use case list and navigation flow.</t>
  </si>
  <si>
    <t>Deciding where Manager-only functionality should sit in the Use Case Diagram versus the Navigation Flow, resolved by using generalization (Manager isa Staff) consistently across both artefacts.</t>
  </si>
  <si>
    <t>Split by design artefact — architecture/security, use case/interfaces, sequence diagrams/ERD, ASP.NET prototyping/Project plan, navigation flow/reporting.</t>
  </si>
  <si>
    <t>Did all members contribute fairly?</t>
  </si>
  <si>
    <t>Yes — each member owned at least one design artefact end to end, verified by the group.</t>
  </si>
  <si>
    <t>How did the group handle disagreements?</t>
  </si>
  <si>
    <t>Reviewed conflicting design choices against the SRS-confirmed requirements and the stakeholder review meeting notes.</t>
  </si>
  <si>
    <t>What did the group learn from this phase?</t>
  </si>
  <si>
    <t>That designing all artefacts (architecture, use cases, sequence diagrams, ERD, interfaces, navigation) against the same requirement set keeps them traceable to each other, exactly as the Phase 2 checkpoint requires.</t>
  </si>
  <si>
    <t>Run the Supabase real-time sync technical spike (R-03) before full Sprint 1 development begins</t>
  </si>
  <si>
    <t>The allocated project files have been uploaded to GitHub using the simple member-by-member plan.</t>
  </si>
  <si>
    <t>Configure the Supabase backend and begin Sprint 1 core feature development on schedule</t>
  </si>
  <si>
    <t>Phase 3 Group Reflection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</si>
</sst>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
    <numFmt numFmtId="167" formatCode="0.0"/>
  </numFmts>
  <fonts count="13">
    <font>
      <sz val="11"/>
      <name val="Calibri"/>
      <charset val="134"/>
    </font>
    <font>
      <b/>
      <sz val="16"/>
      <color rgb="FFFFFFFF"/>
      <name val="Calibri"/>
      <charset val="134"/>
    </font>
    <font>
      <i/>
      <sz val="11"/>
      <color rgb="FF1F2937"/>
      <name val="Calibri"/>
      <charset val="134"/>
    </font>
    <font>
      <b/>
      <sz val="11"/>
      <color rgb="FFFFFFFF"/>
      <name val="Calibri"/>
      <charset val="134"/>
    </font>
    <font>
      <b/>
      <sz val="11"/>
      <color rgb="FF0B2E59"/>
      <name val="Calibri"/>
      <charset val="134"/>
    </font>
    <font>
      <sz val="11"/>
      <color rgb="FF1F2937"/>
      <name val="Calibri"/>
      <charset val="1"/>
    </font>
    <font>
      <sz val="11"/>
      <color rgb="FF1F2937"/>
      <name val="Calibri"/>
      <charset val="134"/>
    </font>
    <font>
      <b/>
      <sz val="11"/>
      <color rgb="FF0B2E59"/>
      <name val="Calibri"/>
      <charset val="1"/>
    </font>
    <font>
      <u/>
      <sz val="11"/>
      <color rgb="FF0563C1"/>
      <name val="Calibri"/>
      <charset val="1"/>
    </font>
    <font>
      <b/>
      <sz val="11"/>
      <color rgb="FFFFFFFF"/>
      <name val="Calibri"/>
      <charset val="1"/>
    </font>
    <font>
      <b/>
      <sz val="16"/>
      <color rgb="FFFFFFFF"/>
      <name val="Calibri"/>
    </font>
    <font>
      <b/>
      <sz val="11"/>
      <name val="Calibri"/>
    </font>
    <font>
      <b/>
      <sz val="11"/>
      <color rgb="FFFFFFFF"/>
      <name val="Calibri"/>
    </font>
  </fonts>
  <fills count="10">
    <fill>
      <patternFill patternType="none"/>
    </fill>
    <fill>
      <patternFill patternType="gray125"/>
    </fill>
    <fill>
      <patternFill patternType="solid">
        <fgColor rgb="FF0B2E59"/>
        <bgColor rgb="FF1F2937"/>
      </patternFill>
    </fill>
    <fill>
      <patternFill patternType="solid">
        <fgColor rgb="FFFFF8E1"/>
        <bgColor rgb="FFFEF3C7"/>
      </patternFill>
    </fill>
    <fill>
      <patternFill patternType="solid">
        <fgColor rgb="FF1F5A94"/>
        <bgColor rgb="FF156082"/>
      </patternFill>
    </fill>
    <fill>
      <patternFill patternType="solid">
        <fgColor rgb="FFDCEAF7"/>
        <bgColor rgb="FFE9EDF2"/>
      </patternFill>
    </fill>
    <fill>
      <patternFill patternType="solid">
        <fgColor rgb="FFF4F8FC"/>
        <bgColor rgb="FFFFFFFF"/>
      </patternFill>
    </fill>
    <fill>
      <patternFill patternType="solid">
        <fgColor rgb="FF1F4E78"/>
      </patternFill>
    </fill>
    <fill>
      <patternFill patternType="solid">
        <fgColor rgb="FFD9EAF7"/>
      </patternFill>
    </fill>
    <fill>
      <patternFill patternType="solid">
        <fgColor rgb="FF4472C4"/>
      </patternFill>
    </fill>
  </fills>
  <borders count="4">
    <border>
      <left/>
      <right/>
      <top/>
      <bottom/>
      <diagonal/>
    </border>
    <border>
      <left style="thin">
        <color rgb="FFB7CBE3"/>
      </left>
      <right style="thin">
        <color rgb="FFB7CBE3"/>
      </right>
      <top style="thin">
        <color rgb="FFB7CBE3"/>
      </top>
      <bottom style="thin">
        <color rgb="FFB7CBE3"/>
      </bottom>
      <diagonal/>
    </border>
    <border>
      <left/>
      <right/>
      <top/>
      <bottom style="medium">
        <color rgb="FF1F5A94"/>
      </bottom>
      <diagonal/>
    </border>
    <border>
      <left/>
      <right/>
      <top/>
      <bottom style="thin">
        <color rgb="FFD9E2F3"/>
      </bottom>
      <diagonal/>
    </border>
  </borders>
  <cellStyleXfs count="1">
    <xf numFmtId="0" fontId="0" fillId="0" borderId="0"/>
  </cellStyleXfs>
  <cellXfs count="36">
    <xf numFmtId="0" fontId="0" fillId="0" borderId="0" xfId="0" applyAlignment="1"/>
    <xf numFmtId="0" fontId="0" fillId="0" borderId="0" xfId="0" applyAlignment="1"/>
    <xf numFmtId="0" fontId="0" fillId="0" borderId="0" xfId="0"/>
    <xf numFmtId="0" fontId="3" fillId="2" borderId="0" xfId="0" applyFont="1" applyFill="1" applyAlignment="1">
      <alignment horizontal="center" vertical="center" wrapText="1"/>
    </xf>
    <xf numFmtId="0" fontId="4"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1" fontId="7" fillId="0" borderId="1" xfId="0" applyNumberFormat="1" applyFont="1" applyBorder="1" applyAlignment="1">
      <alignment horizontal="center" vertical="center"/>
    </xf>
    <xf numFmtId="164" fontId="6" fillId="6" borderId="1" xfId="0" applyNumberFormat="1" applyFont="1" applyFill="1" applyBorder="1" applyAlignment="1">
      <alignment horizontal="left" vertical="center" wrapText="1"/>
    </xf>
    <xf numFmtId="164" fontId="5" fillId="6" borderId="1" xfId="0" applyNumberFormat="1" applyFont="1" applyFill="1" applyBorder="1" applyAlignment="1">
      <alignment horizontal="left" vertical="center" wrapText="1"/>
    </xf>
    <xf numFmtId="0" fontId="11" fillId="8" borderId="3" xfId="0" applyFont="1" applyFill="1" applyBorder="1" applyAlignment="1">
      <alignment vertical="top" wrapText="1"/>
    </xf>
    <xf numFmtId="0" fontId="12" fillId="9" borderId="3" xfId="0" applyFont="1" applyFill="1" applyBorder="1" applyAlignment="1">
      <alignment vertical="top" wrapText="1"/>
    </xf>
    <xf numFmtId="0" fontId="0" fillId="0" borderId="3" xfId="0" applyBorder="1" applyAlignment="1">
      <alignment vertical="top" wrapText="1"/>
    </xf>
    <xf numFmtId="0" fontId="3"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0" applyNumberFormat="1" applyFont="1" applyBorder="1" applyAlignment="1">
      <alignment horizontal="center" vertical="center" wrapText="1"/>
    </xf>
    <xf numFmtId="166" fontId="5"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7" fillId="0" borderId="1" xfId="0" applyFont="1" applyBorder="1" applyAlignment="1">
      <alignment horizontal="left" vertical="center" wrapText="1"/>
    </xf>
    <xf numFmtId="1" fontId="5" fillId="0" borderId="1" xfId="0" applyNumberFormat="1" applyFont="1" applyBorder="1" applyAlignment="1">
      <alignment horizontal="center" vertical="center" wrapText="1"/>
    </xf>
    <xf numFmtId="167" fontId="5" fillId="0" borderId="1" xfId="0" applyNumberFormat="1" applyFont="1" applyBorder="1" applyAlignment="1">
      <alignment horizontal="center" vertical="center" wrapText="1"/>
    </xf>
    <xf numFmtId="0" fontId="5"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9" fillId="2" borderId="0" xfId="0" applyFont="1" applyFill="1" applyAlignment="1">
      <alignment horizontal="left" vertical="center" wrapText="1"/>
    </xf>
    <xf numFmtId="0" fontId="1" fillId="2" borderId="0" xfId="0" applyFont="1" applyFill="1" applyAlignment="1">
      <alignment horizontal="left" vertical="center"/>
    </xf>
    <xf numFmtId="0" fontId="0" fillId="0" borderId="0" xfId="0" applyAlignment="1"/>
    <xf numFmtId="0" fontId="3" fillId="4" borderId="0" xfId="0" applyFont="1" applyFill="1" applyAlignment="1">
      <alignment horizontal="center" vertical="center" wrapText="1"/>
    </xf>
    <xf numFmtId="0" fontId="2" fillId="3" borderId="0" xfId="0" applyFont="1" applyFill="1" applyAlignment="1">
      <alignment horizontal="left" vertical="center" wrapText="1"/>
    </xf>
    <xf numFmtId="0" fontId="3" fillId="4" borderId="0" xfId="0" applyFont="1" applyFill="1" applyAlignment="1">
      <alignment horizontal="left" vertical="center"/>
    </xf>
    <xf numFmtId="0" fontId="10" fillId="7" borderId="0" xfId="0" applyFont="1" applyFill="1" applyAlignment="1">
      <alignment vertical="center"/>
    </xf>
    <xf numFmtId="0" fontId="0" fillId="0" borderId="0" xfId="0"/>
    <xf numFmtId="0" fontId="3" fillId="2" borderId="0" xfId="0" applyFont="1" applyFill="1" applyAlignment="1">
      <alignment horizontal="center" vertical="center" wrapText="1"/>
    </xf>
  </cellXfs>
  <cellStyles count="1">
    <cellStyle name="Normal" xfId="0" builtinId="0"/>
  </cellStyles>
  <dxfs count="54">
    <dxf>
      <font>
        <b/>
        <color rgb="FF991B1B"/>
        <name val="Calibri"/>
        <charset val="1"/>
      </font>
      <fill>
        <patternFill>
          <bgColor rgb="FFFEE2E2"/>
        </patternFill>
      </fill>
    </dxf>
    <dxf>
      <font>
        <b/>
        <color rgb="FF92400E"/>
        <name val="Calibri"/>
        <charset val="1"/>
      </font>
      <fill>
        <patternFill>
          <bgColor rgb="FFFEF3C7"/>
        </patternFill>
      </fill>
    </dxf>
    <dxf>
      <font>
        <b/>
        <color rgb="FF374151"/>
        <name val="Calibri"/>
        <charset val="1"/>
      </font>
      <fill>
        <patternFill>
          <bgColor rgb="FFE9EDF2"/>
        </patternFill>
      </fill>
    </dxf>
    <dxf>
      <font>
        <b/>
        <color rgb="FF0B2E59"/>
        <name val="Calibri"/>
        <charset val="1"/>
      </font>
      <fill>
        <patternFill>
          <bgColor rgb="FFDCEAF7"/>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92400E"/>
        <name val="Calibri"/>
        <charset val="1"/>
      </font>
      <fill>
        <patternFill>
          <bgColor rgb="FFFEF3C7"/>
        </patternFill>
      </fill>
    </dxf>
    <dxf>
      <font>
        <b/>
        <color rgb="FF374151"/>
        <name val="Calibri"/>
        <charset val="1"/>
      </font>
      <fill>
        <patternFill>
          <bgColor rgb="FFE9EDF2"/>
        </patternFill>
      </fill>
    </dxf>
    <dxf>
      <font>
        <b/>
        <color rgb="FF0B2E59"/>
        <name val="Calibri"/>
        <charset val="1"/>
      </font>
      <fill>
        <patternFill>
          <bgColor rgb="FFDCEAF7"/>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92400E"/>
        <name val="Calibri"/>
        <charset val="1"/>
      </font>
      <fill>
        <patternFill>
          <bgColor rgb="FFFEF3C7"/>
        </patternFill>
      </fill>
    </dxf>
    <dxf>
      <font>
        <b/>
        <color rgb="FF374151"/>
        <name val="Calibri"/>
        <charset val="1"/>
      </font>
      <fill>
        <patternFill>
          <bgColor rgb="FFE9EDF2"/>
        </patternFill>
      </fill>
    </dxf>
    <dxf>
      <font>
        <b/>
        <color rgb="FF0B2E59"/>
        <name val="Calibri"/>
        <charset val="1"/>
      </font>
      <fill>
        <patternFill>
          <bgColor rgb="FFDCEAF7"/>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92400E"/>
        <name val="Calibri"/>
        <charset val="1"/>
      </font>
      <fill>
        <patternFill>
          <bgColor rgb="FFFEF3C7"/>
        </patternFill>
      </fill>
    </dxf>
    <dxf>
      <font>
        <b/>
        <color rgb="FF0B2E59"/>
        <name val="Calibri"/>
        <charset val="1"/>
      </font>
      <fill>
        <patternFill>
          <bgColor rgb="FFDCEAF7"/>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92400E"/>
        <name val="Calibri"/>
        <charset val="1"/>
      </font>
      <fill>
        <patternFill>
          <bgColor rgb="FFFEF3C7"/>
        </patternFill>
      </fill>
    </dxf>
    <dxf>
      <font>
        <b/>
        <color rgb="FF991B1B"/>
        <name val="Calibri"/>
        <charset val="1"/>
      </font>
      <fill>
        <patternFill>
          <bgColor rgb="FFFEE2E2"/>
        </patternFill>
      </fill>
    </dxf>
    <dxf>
      <font>
        <b/>
        <color rgb="FF0B2E59"/>
        <name val="Calibri"/>
        <charset val="1"/>
      </font>
      <fill>
        <patternFill>
          <bgColor rgb="FFDCEAF7"/>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92400E"/>
        <name val="Calibri"/>
        <charset val="1"/>
      </font>
      <fill>
        <patternFill>
          <bgColor rgb="FFFEF3C7"/>
        </patternFill>
      </fill>
    </dxf>
    <dxf>
      <font>
        <b/>
        <color rgb="FF374151"/>
        <name val="Calibri"/>
        <charset val="1"/>
      </font>
      <fill>
        <patternFill>
          <bgColor rgb="FFE9EDF2"/>
        </patternFill>
      </fill>
    </dxf>
    <dxf>
      <font>
        <b/>
        <color rgb="FF0B2E59"/>
        <name val="Calibri"/>
        <charset val="1"/>
      </font>
      <fill>
        <patternFill>
          <bgColor rgb="FFDCEAF7"/>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92400E"/>
        <name val="Calibri"/>
        <charset val="1"/>
      </font>
      <fill>
        <patternFill>
          <bgColor rgb="FFFEF3C7"/>
        </patternFill>
      </fill>
    </dxf>
    <dxf>
      <font>
        <b/>
        <color rgb="FF374151"/>
        <name val="Calibri"/>
        <charset val="1"/>
      </font>
      <fill>
        <patternFill>
          <bgColor rgb="FFE9EDF2"/>
        </patternFill>
      </fill>
    </dxf>
    <dxf>
      <font>
        <b/>
        <color rgb="FF0B2E59"/>
        <name val="Calibri"/>
        <charset val="1"/>
      </font>
      <fill>
        <patternFill>
          <bgColor rgb="FFDCEAF7"/>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92400E"/>
        <name val="Calibri"/>
        <charset val="1"/>
      </font>
      <fill>
        <patternFill>
          <bgColor rgb="FFFEF3C7"/>
        </patternFill>
      </fill>
    </dxf>
    <dxf>
      <font>
        <b/>
        <color rgb="FF374151"/>
        <name val="Calibri"/>
        <charset val="1"/>
      </font>
      <fill>
        <patternFill>
          <bgColor rgb="FFE9EDF2"/>
        </patternFill>
      </fill>
    </dxf>
    <dxf>
      <font>
        <b/>
        <color rgb="FF0B2E59"/>
        <name val="Calibri"/>
        <charset val="1"/>
      </font>
      <fill>
        <patternFill>
          <bgColor rgb="FFDCEAF7"/>
        </patternFill>
      </fill>
    </dxf>
    <dxf>
      <font>
        <b/>
        <color rgb="FF166534"/>
        <name val="Calibri"/>
        <charset val="1"/>
      </font>
      <fill>
        <patternFill>
          <bgColor rgb="FFDCFCE7"/>
        </patternFill>
      </fill>
    </dxf>
    <dxf>
      <font>
        <b/>
        <color rgb="FF991B1B"/>
        <name val="Calibri"/>
        <charset val="1"/>
      </font>
      <fill>
        <patternFill>
          <bgColor rgb="FFFEE2E2"/>
        </patternFill>
      </fill>
    </dxf>
    <dxf>
      <font>
        <b/>
        <color rgb="FF92400E"/>
        <name val="Calibri"/>
        <charset val="1"/>
      </font>
      <fill>
        <patternFill>
          <bgColor rgb="FFFEF3C7"/>
        </patternFill>
      </fill>
    </dxf>
    <dxf>
      <font>
        <b/>
        <color rgb="FF374151"/>
        <name val="Calibri"/>
        <charset val="1"/>
      </font>
      <fill>
        <patternFill>
          <bgColor rgb="FFE9EDF2"/>
        </patternFill>
      </fill>
    </dxf>
    <dxf>
      <font>
        <b/>
        <color rgb="FF0B2E59"/>
        <name val="Calibri"/>
        <charset val="1"/>
      </font>
      <fill>
        <patternFill>
          <bgColor rgb="FFDCEAF7"/>
        </patternFill>
      </fill>
    </dxf>
    <dxf>
      <font>
        <b/>
        <color rgb="FF166534"/>
        <name val="Calibri"/>
        <charset val="1"/>
      </font>
      <fill>
        <patternFill>
          <bgColor rgb="FFDCFC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156082"/>
      <rgbColor rgb="FFCCCCCC"/>
      <rgbColor rgb="FF8B8B8B"/>
      <rgbColor rgb="FF9999FF"/>
      <rgbColor rgb="FF993366"/>
      <rgbColor rgb="FFFFF8E1"/>
      <rgbColor rgb="FFDCFCE7"/>
      <rgbColor rgb="FF660066"/>
      <rgbColor rgb="FFFF8080"/>
      <rgbColor rgb="FF0563C1"/>
      <rgbColor rgb="FFB7CBE3"/>
      <rgbColor rgb="FF000080"/>
      <rgbColor rgb="FFFF00FF"/>
      <rgbColor rgb="FFFFFF00"/>
      <rgbColor rgb="FF00FFFF"/>
      <rgbColor rgb="FF800080"/>
      <rgbColor rgb="FF800000"/>
      <rgbColor rgb="FF1F5A94"/>
      <rgbColor rgb="FF0000FF"/>
      <rgbColor rgb="FF00CCFF"/>
      <rgbColor rgb="FFDCEAF7"/>
      <rgbColor rgb="FFE9EDF2"/>
      <rgbColor rgb="FFFEF3C7"/>
      <rgbColor rgb="FFD9D9D9"/>
      <rgbColor rgb="FFF4F8FC"/>
      <rgbColor rgb="FFCC99FF"/>
      <rgbColor rgb="FFFEE2E2"/>
      <rgbColor rgb="FF3366FF"/>
      <rgbColor rgb="FF33CCCC"/>
      <rgbColor rgb="FF99CC00"/>
      <rgbColor rgb="FFFFCC00"/>
      <rgbColor rgb="FFFF9900"/>
      <rgbColor rgb="FFFF6600"/>
      <rgbColor rgb="FF666699"/>
      <rgbColor rgb="FF969696"/>
      <rgbColor rgb="FF0B2E59"/>
      <rgbColor rgb="FF339966"/>
      <rgbColor rgb="FF003300"/>
      <rgbColor rgb="FF333300"/>
      <rgbColor rgb="FF92400E"/>
      <rgbColor rgb="FF993366"/>
      <rgbColor rgb="FF374151"/>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ZA" sz="1800" b="1" strike="noStrike" spc="-1">
                <a:solidFill>
                  <a:srgbClr val="000000"/>
                </a:solidFill>
                <a:latin typeface="Calibri"/>
                <a:ea typeface="Calibri"/>
              </a:defRPr>
            </a:pPr>
            <a:r>
              <a:rPr lang="en-ZA" sz="1800" b="1" strike="noStrike" spc="-1">
                <a:solidFill>
                  <a:srgbClr val="000000"/>
                </a:solidFill>
                <a:latin typeface="Calibri"/>
                <a:ea typeface="Calibri"/>
              </a:rPr>
              <a:t>Phase 1 Task Status</a:t>
            </a:r>
          </a:p>
        </c:rich>
      </c:tx>
      <c:overlay val="0"/>
      <c:spPr>
        <a:noFill/>
        <a:ln w="0">
          <a:noFill/>
          <a:prstDash val="solid"/>
        </a:ln>
      </c:spPr>
    </c:title>
    <c:autoTitleDeleted val="0"/>
    <c:plotArea>
      <c:layout/>
      <c:barChart>
        <c:barDir val="col"/>
        <c:grouping val="clustered"/>
        <c:varyColors val="0"/>
        <c:ser>
          <c:idx val="0"/>
          <c:order val="0"/>
          <c:tx>
            <c:v>Count</c:v>
          </c:tx>
          <c:spPr>
            <a:solidFill>
              <a:srgbClr val="156082"/>
            </a:solidFill>
            <a:ln w="0">
              <a:noFill/>
              <a:prstDash val="solid"/>
            </a:ln>
          </c:spPr>
          <c:invertIfNegative val="0"/>
          <c:dLbls>
            <c:spPr>
              <a:noFill/>
              <a:ln>
                <a:noFill/>
              </a:ln>
              <a:effectLst/>
            </c:spPr>
            <c:txPr>
              <a:bodyPr wrap="square"/>
              <a:lstStyle/>
              <a:p>
                <a:pPr>
                  <a:defRPr lang="en-US" sz="1000" b="0" strike="noStrike" spc="-1">
                    <a:solidFill>
                      <a:srgbClr val="000000"/>
                    </a:solidFill>
                    <a:latin typeface="Arial"/>
                    <a:ea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0</c:formatCode>
                <c:ptCount val="6"/>
                <c:pt idx="0">
                  <c:v>11</c:v>
                </c:pt>
                <c:pt idx="1">
                  <c:v>0</c:v>
                </c:pt>
                <c:pt idx="2">
                  <c:v>0</c:v>
                </c:pt>
                <c:pt idx="3">
                  <c:v>0</c:v>
                </c:pt>
                <c:pt idx="4">
                  <c:v>0</c:v>
                </c:pt>
                <c:pt idx="5">
                  <c:v>0</c:v>
                </c:pt>
              </c:numCache>
            </c:numRef>
          </c:val>
          <c:extLst>
            <c:ext xmlns:c16="http://schemas.microsoft.com/office/drawing/2014/chart" uri="{C3380CC4-5D6E-409C-BE32-E72D297353CC}">
              <c16:uniqueId val="{00000000-5A0C-41A8-9862-A02084375F2A}"/>
            </c:ext>
          </c:extLst>
        </c:ser>
        <c:dLbls>
          <c:showLegendKey val="0"/>
          <c:showVal val="0"/>
          <c:showCatName val="0"/>
          <c:showSerName val="0"/>
          <c:showPercent val="0"/>
          <c:showBubbleSize val="0"/>
        </c:dLbls>
        <c:gapWidth val="150"/>
        <c:axId val="72976524"/>
        <c:axId val="70466311"/>
      </c:barChart>
      <c:catAx>
        <c:axId val="72976524"/>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prstDash val="solid"/>
            <a:round/>
          </a:ln>
        </c:spPr>
        <c:txPr>
          <a:bodyPr/>
          <a:lstStyle/>
          <a:p>
            <a:pPr>
              <a:defRPr lang="en-US" sz="1000" b="0" strike="noStrike" spc="-1">
                <a:solidFill>
                  <a:srgbClr val="000000"/>
                </a:solidFill>
                <a:latin typeface="Calibri"/>
                <a:ea typeface="Calibri"/>
              </a:defRPr>
            </a:pPr>
            <a:endParaRPr lang="en-US"/>
          </a:p>
        </c:txPr>
        <c:crossAx val="70466311"/>
        <c:crosses val="autoZero"/>
        <c:auto val="1"/>
        <c:lblAlgn val="ctr"/>
        <c:lblOffset val="100"/>
        <c:noMultiLvlLbl val="0"/>
      </c:catAx>
      <c:valAx>
        <c:axId val="70466311"/>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prstDash val="solid"/>
            <a:round/>
          </a:ln>
        </c:spPr>
        <c:txPr>
          <a:bodyPr/>
          <a:lstStyle/>
          <a:p>
            <a:pPr>
              <a:defRPr lang="en-US" sz="1000" b="0" strike="noStrike" spc="-1">
                <a:solidFill>
                  <a:srgbClr val="000000"/>
                </a:solidFill>
                <a:latin typeface="Calibri"/>
                <a:ea typeface="Calibri"/>
              </a:defRPr>
            </a:pPr>
            <a:endParaRPr lang="en-US"/>
          </a:p>
        </c:txPr>
        <c:crossAx val="72976524"/>
        <c:crosses val="autoZero"/>
        <c:crossBetween val="between"/>
      </c:valAx>
    </c:plotArea>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ZA" sz="1800" b="1" strike="noStrike" spc="-1">
                <a:solidFill>
                  <a:srgbClr val="000000"/>
                </a:solidFill>
                <a:latin typeface="Calibri"/>
                <a:ea typeface="Calibri"/>
              </a:defRPr>
            </a:pPr>
            <a:r>
              <a:rPr lang="en-ZA" sz="1800" b="1" strike="noStrike" spc="-1">
                <a:solidFill>
                  <a:srgbClr val="000000"/>
                </a:solidFill>
                <a:latin typeface="Calibri"/>
                <a:ea typeface="Calibri"/>
              </a:rPr>
              <a:t>Phase 2 Task Status</a:t>
            </a:r>
          </a:p>
        </c:rich>
      </c:tx>
      <c:overlay val="0"/>
      <c:spPr>
        <a:noFill/>
        <a:ln w="0">
          <a:noFill/>
          <a:prstDash val="solid"/>
        </a:ln>
      </c:spPr>
    </c:title>
    <c:autoTitleDeleted val="0"/>
    <c:plotArea>
      <c:layout/>
      <c:barChart>
        <c:barDir val="col"/>
        <c:grouping val="clustered"/>
        <c:varyColors val="0"/>
        <c:ser>
          <c:idx val="0"/>
          <c:order val="0"/>
          <c:tx>
            <c:v>Count</c:v>
          </c:tx>
          <c:spPr>
            <a:solidFill>
              <a:srgbClr val="156082"/>
            </a:solidFill>
            <a:ln w="0">
              <a:noFill/>
              <a:prstDash val="solid"/>
            </a:ln>
          </c:spPr>
          <c:invertIfNegative val="0"/>
          <c:dLbls>
            <c:spPr>
              <a:noFill/>
              <a:ln>
                <a:noFill/>
              </a:ln>
              <a:effectLst/>
            </c:spPr>
            <c:txPr>
              <a:bodyPr wrap="square"/>
              <a:lstStyle/>
              <a:p>
                <a:pPr>
                  <a:defRPr lang="en-US" sz="1000" b="0" strike="noStrike" spc="-1">
                    <a:solidFill>
                      <a:srgbClr val="000000"/>
                    </a:solidFill>
                    <a:latin typeface="Arial"/>
                    <a:ea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'Project Overview'!$F$19:$F$24</c:f>
              <c:strCache>
                <c:ptCount val="6"/>
                <c:pt idx="0">
                  <c:v>Completed</c:v>
                </c:pt>
                <c:pt idx="1">
                  <c:v>In Progress</c:v>
                </c:pt>
                <c:pt idx="2">
                  <c:v>Not Started</c:v>
                </c:pt>
                <c:pt idx="3">
                  <c:v>Delayed</c:v>
                </c:pt>
                <c:pt idx="4">
                  <c:v>Blocked</c:v>
                </c:pt>
                <c:pt idx="5">
                  <c:v>Overdue</c:v>
                </c:pt>
              </c:strCache>
            </c:strRef>
          </c:cat>
          <c:val>
            <c:numRef>
              <c:f>'Project Overview'!$G$19:$G$24</c:f>
              <c:numCache>
                <c:formatCode>0</c:formatCode>
                <c:ptCount val="6"/>
                <c:pt idx="0">
                  <c:v>12</c:v>
                </c:pt>
                <c:pt idx="1">
                  <c:v>0</c:v>
                </c:pt>
                <c:pt idx="2">
                  <c:v>0</c:v>
                </c:pt>
                <c:pt idx="3">
                  <c:v>0</c:v>
                </c:pt>
                <c:pt idx="4">
                  <c:v>0</c:v>
                </c:pt>
                <c:pt idx="5">
                  <c:v>0</c:v>
                </c:pt>
              </c:numCache>
            </c:numRef>
          </c:val>
          <c:extLst>
            <c:ext xmlns:c16="http://schemas.microsoft.com/office/drawing/2014/chart" uri="{C3380CC4-5D6E-409C-BE32-E72D297353CC}">
              <c16:uniqueId val="{00000000-0790-4B39-A19E-9C80E59FB3A3}"/>
            </c:ext>
          </c:extLst>
        </c:ser>
        <c:dLbls>
          <c:showLegendKey val="0"/>
          <c:showVal val="0"/>
          <c:showCatName val="0"/>
          <c:showSerName val="0"/>
          <c:showPercent val="0"/>
          <c:showBubbleSize val="0"/>
        </c:dLbls>
        <c:gapWidth val="150"/>
        <c:axId val="38048015"/>
        <c:axId val="5148641"/>
      </c:barChart>
      <c:catAx>
        <c:axId val="3804801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prstDash val="solid"/>
            <a:round/>
          </a:ln>
        </c:spPr>
        <c:txPr>
          <a:bodyPr/>
          <a:lstStyle/>
          <a:p>
            <a:pPr>
              <a:defRPr lang="en-US" sz="1000" b="0" strike="noStrike" spc="-1">
                <a:solidFill>
                  <a:srgbClr val="000000"/>
                </a:solidFill>
                <a:latin typeface="Calibri"/>
                <a:ea typeface="Calibri"/>
              </a:defRPr>
            </a:pPr>
            <a:endParaRPr lang="en-US"/>
          </a:p>
        </c:txPr>
        <c:crossAx val="5148641"/>
        <c:crosses val="autoZero"/>
        <c:auto val="1"/>
        <c:lblAlgn val="ctr"/>
        <c:lblOffset val="100"/>
        <c:noMultiLvlLbl val="0"/>
      </c:catAx>
      <c:valAx>
        <c:axId val="5148641"/>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prstDash val="solid"/>
            <a:round/>
          </a:ln>
        </c:spPr>
        <c:txPr>
          <a:bodyPr/>
          <a:lstStyle/>
          <a:p>
            <a:pPr>
              <a:defRPr lang="en-US" sz="1000" b="0" strike="noStrike" spc="-1">
                <a:solidFill>
                  <a:srgbClr val="000000"/>
                </a:solidFill>
                <a:latin typeface="Calibri"/>
                <a:ea typeface="Calibri"/>
              </a:defRPr>
            </a:pPr>
            <a:endParaRPr lang="en-US"/>
          </a:p>
        </c:txPr>
        <c:crossAx val="38048015"/>
        <c:crosses val="autoZero"/>
        <c:crossBetween val="between"/>
      </c:valAx>
    </c:plotArea>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ZA" sz="1800" b="1" strike="noStrike" spc="-1">
                <a:solidFill>
                  <a:srgbClr val="000000"/>
                </a:solidFill>
                <a:latin typeface="Calibri"/>
                <a:ea typeface="Calibri"/>
              </a:defRPr>
            </a:pPr>
            <a:r>
              <a:rPr lang="en-ZA" sz="1800" b="1" strike="noStrike" spc="-1">
                <a:solidFill>
                  <a:srgbClr val="000000"/>
                </a:solidFill>
                <a:latin typeface="Calibri"/>
                <a:ea typeface="Calibri"/>
              </a:rPr>
              <a:t>Phase 3 Task Status</a:t>
            </a:r>
          </a:p>
        </c:rich>
      </c:tx>
      <c:overlay val="0"/>
      <c:spPr>
        <a:noFill/>
        <a:ln w="0">
          <a:noFill/>
          <a:prstDash val="solid"/>
        </a:ln>
      </c:spPr>
    </c:title>
    <c:autoTitleDeleted val="0"/>
    <c:plotArea>
      <c:layout/>
      <c:barChart>
        <c:barDir val="col"/>
        <c:grouping val="clustered"/>
        <c:varyColors val="0"/>
        <c:ser>
          <c:idx val="0"/>
          <c:order val="0"/>
          <c:tx>
            <c:v>Count</c:v>
          </c:tx>
          <c:spPr>
            <a:solidFill>
              <a:srgbClr val="156082"/>
            </a:solidFill>
            <a:ln w="0">
              <a:noFill/>
              <a:prstDash val="solid"/>
            </a:ln>
          </c:spPr>
          <c:invertIfNegative val="0"/>
          <c:dLbls>
            <c:spPr>
              <a:noFill/>
              <a:ln>
                <a:noFill/>
              </a:ln>
              <a:effectLst/>
            </c:spPr>
            <c:txPr>
              <a:bodyPr wrap="square"/>
              <a:lstStyle/>
              <a:p>
                <a:pPr>
                  <a:defRPr lang="en-US" sz="1000" b="0" strike="noStrike" spc="-1">
                    <a:solidFill>
                      <a:srgbClr val="000000"/>
                    </a:solidFill>
                    <a:latin typeface="Arial"/>
                    <a:ea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'Project Overview'!$F$34:$F$39</c:f>
              <c:strCache>
                <c:ptCount val="6"/>
                <c:pt idx="0">
                  <c:v>Completed</c:v>
                </c:pt>
                <c:pt idx="1">
                  <c:v>In Progress</c:v>
                </c:pt>
                <c:pt idx="2">
                  <c:v>Not Started</c:v>
                </c:pt>
                <c:pt idx="3">
                  <c:v>Delayed</c:v>
                </c:pt>
                <c:pt idx="4">
                  <c:v>Blocked</c:v>
                </c:pt>
                <c:pt idx="5">
                  <c:v>Overdue</c:v>
                </c:pt>
              </c:strCache>
            </c:strRef>
          </c:cat>
          <c:val>
            <c:numRef>
              <c:f>'Project Overview'!$G$34:$G$39</c:f>
              <c:numCache>
                <c:formatCode>0</c:formatCode>
                <c:ptCount val="6"/>
                <c:pt idx="0">
                  <c:v>18</c:v>
                </c:pt>
                <c:pt idx="1">
                  <c:v>0</c:v>
                </c:pt>
                <c:pt idx="2">
                  <c:v>0</c:v>
                </c:pt>
                <c:pt idx="3">
                  <c:v>0</c:v>
                </c:pt>
                <c:pt idx="4">
                  <c:v>0</c:v>
                </c:pt>
                <c:pt idx="5">
                  <c:v>0</c:v>
                </c:pt>
              </c:numCache>
            </c:numRef>
          </c:val>
          <c:extLst>
            <c:ext xmlns:c16="http://schemas.microsoft.com/office/drawing/2014/chart" uri="{C3380CC4-5D6E-409C-BE32-E72D297353CC}">
              <c16:uniqueId val="{00000000-C86E-4E0C-83C3-7F5ABAEB01E9}"/>
            </c:ext>
          </c:extLst>
        </c:ser>
        <c:dLbls>
          <c:showLegendKey val="0"/>
          <c:showVal val="0"/>
          <c:showCatName val="0"/>
          <c:showSerName val="0"/>
          <c:showPercent val="0"/>
          <c:showBubbleSize val="0"/>
        </c:dLbls>
        <c:gapWidth val="150"/>
        <c:axId val="48992813"/>
        <c:axId val="60202918"/>
      </c:barChart>
      <c:catAx>
        <c:axId val="4899281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prstDash val="solid"/>
            <a:round/>
          </a:ln>
        </c:spPr>
        <c:txPr>
          <a:bodyPr/>
          <a:lstStyle/>
          <a:p>
            <a:pPr>
              <a:defRPr lang="en-US" sz="1000" b="0" strike="noStrike" spc="-1">
                <a:solidFill>
                  <a:srgbClr val="000000"/>
                </a:solidFill>
                <a:latin typeface="Calibri"/>
                <a:ea typeface="Calibri"/>
              </a:defRPr>
            </a:pPr>
            <a:endParaRPr lang="en-US"/>
          </a:p>
        </c:txPr>
        <c:crossAx val="60202918"/>
        <c:crosses val="autoZero"/>
        <c:auto val="1"/>
        <c:lblAlgn val="ctr"/>
        <c:lblOffset val="100"/>
        <c:noMultiLvlLbl val="0"/>
      </c:catAx>
      <c:valAx>
        <c:axId val="60202918"/>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prstDash val="solid"/>
            <a:round/>
          </a:ln>
        </c:spPr>
        <c:txPr>
          <a:bodyPr/>
          <a:lstStyle/>
          <a:p>
            <a:pPr>
              <a:defRPr lang="en-US" sz="1000" b="0" strike="noStrike" spc="-1">
                <a:solidFill>
                  <a:srgbClr val="000000"/>
                </a:solidFill>
                <a:latin typeface="Calibri"/>
                <a:ea typeface="Calibri"/>
              </a:defRPr>
            </a:pPr>
            <a:endParaRPr lang="en-US"/>
          </a:p>
        </c:txPr>
        <c:crossAx val="48992813"/>
        <c:crosses val="autoZero"/>
        <c:crossBetween val="between"/>
      </c:valAx>
    </c:plotArea>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11</xdr:col>
      <xdr:colOff>797040</xdr:colOff>
      <xdr:row>15</xdr:row>
      <xdr:rowOff>134640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17</xdr:row>
      <xdr:rowOff>0</xdr:rowOff>
    </xdr:from>
    <xdr:to>
      <xdr:col>11</xdr:col>
      <xdr:colOff>797040</xdr:colOff>
      <xdr:row>30</xdr:row>
      <xdr:rowOff>96480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32</xdr:row>
      <xdr:rowOff>0</xdr:rowOff>
    </xdr:from>
    <xdr:to>
      <xdr:col>11</xdr:col>
      <xdr:colOff>797040</xdr:colOff>
      <xdr:row>45</xdr:row>
      <xdr:rowOff>96480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hyperlink" Target="https://supabase.com/dashboard/project/qmcwfnupigrpkmtommcd" TargetMode="External"/><Relationship Id="rId1" Type="http://schemas.openxmlformats.org/officeDocument/2006/relationships/hyperlink" Target="https://github.com/Lekhelebana/WIL-Proje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2E59"/>
    <pageSetUpPr fitToPage="1"/>
  </sheetPr>
  <dimension ref="A1:H17"/>
  <sheetViews>
    <sheetView showGridLines="0" topLeftCell="A10" zoomScaleNormal="100" workbookViewId="0"/>
  </sheetViews>
  <sheetFormatPr defaultColWidth="9" defaultRowHeight="15"/>
  <cols>
    <col min="1" max="1" width="24" style="1" customWidth="1"/>
    <col min="2" max="2" width="54" style="1" customWidth="1"/>
    <col min="3" max="3" width="3" style="1" customWidth="1"/>
    <col min="4" max="4" width="18" style="1" customWidth="1"/>
    <col min="5" max="5" width="64" style="1" customWidth="1"/>
    <col min="6" max="8" width="2" style="1" customWidth="1"/>
  </cols>
  <sheetData>
    <row r="1" spans="1:8" ht="30" customHeight="1">
      <c r="A1" s="28" t="s">
        <v>0</v>
      </c>
      <c r="B1" s="29"/>
      <c r="C1" s="29"/>
      <c r="D1" s="29"/>
      <c r="E1" s="29"/>
      <c r="F1" s="29"/>
      <c r="G1" s="29"/>
      <c r="H1" s="29"/>
    </row>
    <row r="2" spans="1:8" ht="7.5" customHeight="1"/>
    <row r="3" spans="1:8" ht="36" customHeight="1">
      <c r="A3" s="31" t="s">
        <v>1</v>
      </c>
      <c r="B3" s="29"/>
      <c r="C3" s="29"/>
      <c r="D3" s="29"/>
      <c r="E3" s="29"/>
      <c r="F3" s="29"/>
      <c r="G3" s="29"/>
      <c r="H3" s="29"/>
    </row>
    <row r="4" spans="1:8" ht="9.75" customHeight="1"/>
    <row r="5" spans="1:8" ht="21.75" customHeight="1">
      <c r="A5" s="3" t="s">
        <v>2</v>
      </c>
      <c r="B5" s="3" t="s">
        <v>3</v>
      </c>
      <c r="D5" s="30" t="s">
        <v>4</v>
      </c>
      <c r="E5" s="29"/>
      <c r="F5" s="29"/>
      <c r="G5" s="29"/>
      <c r="H5" s="29"/>
    </row>
    <row r="6" spans="1:8" ht="36.75" customHeight="1">
      <c r="A6" s="4" t="s">
        <v>5</v>
      </c>
      <c r="B6" s="5" t="s">
        <v>6</v>
      </c>
      <c r="D6" s="6" t="s">
        <v>7</v>
      </c>
      <c r="E6" s="5" t="s">
        <v>8</v>
      </c>
    </row>
    <row r="7" spans="1:8" ht="51.75" customHeight="1">
      <c r="A7" s="4" t="s">
        <v>9</v>
      </c>
      <c r="B7" s="5" t="s">
        <v>10</v>
      </c>
      <c r="D7" s="6" t="s">
        <v>11</v>
      </c>
      <c r="E7" s="5" t="s">
        <v>12</v>
      </c>
    </row>
    <row r="8" spans="1:8" ht="36.75" customHeight="1">
      <c r="A8" s="4" t="s">
        <v>13</v>
      </c>
      <c r="B8" s="5" t="s">
        <v>14</v>
      </c>
      <c r="D8" s="6" t="s">
        <v>15</v>
      </c>
      <c r="E8" s="5" t="s">
        <v>16</v>
      </c>
    </row>
    <row r="9" spans="1:8" ht="36.75" customHeight="1">
      <c r="A9" s="4" t="s">
        <v>17</v>
      </c>
      <c r="B9" s="5" t="s">
        <v>18</v>
      </c>
      <c r="D9" s="6" t="s">
        <v>19</v>
      </c>
      <c r="E9" s="5" t="s">
        <v>20</v>
      </c>
    </row>
    <row r="10" spans="1:8" ht="51.75" customHeight="1">
      <c r="A10" s="4" t="s">
        <v>21</v>
      </c>
      <c r="B10" s="5" t="s">
        <v>22</v>
      </c>
      <c r="D10" s="6" t="s">
        <v>23</v>
      </c>
      <c r="E10" s="5" t="s">
        <v>24</v>
      </c>
    </row>
    <row r="11" spans="1:8" ht="36.75" customHeight="1">
      <c r="A11" s="4" t="s">
        <v>25</v>
      </c>
      <c r="B11" s="5" t="s">
        <v>26</v>
      </c>
      <c r="D11" s="6" t="s">
        <v>27</v>
      </c>
      <c r="E11" s="5" t="s">
        <v>28</v>
      </c>
    </row>
    <row r="12" spans="1:8" ht="36.75" customHeight="1">
      <c r="A12" s="4" t="s">
        <v>29</v>
      </c>
      <c r="B12" s="5" t="s">
        <v>30</v>
      </c>
    </row>
    <row r="13" spans="1:8" ht="21.75" customHeight="1">
      <c r="D13" s="32" t="s">
        <v>31</v>
      </c>
      <c r="E13" s="29"/>
      <c r="F13" s="29"/>
      <c r="G13" s="29"/>
      <c r="H13" s="29"/>
    </row>
    <row r="14" spans="1:8" ht="21.75" customHeight="1">
      <c r="D14" s="4" t="s">
        <v>32</v>
      </c>
      <c r="E14" s="5" t="s">
        <v>33</v>
      </c>
    </row>
    <row r="15" spans="1:8" ht="21.75" customHeight="1">
      <c r="D15" s="4" t="s">
        <v>34</v>
      </c>
      <c r="E15" s="5" t="s">
        <v>35</v>
      </c>
    </row>
    <row r="16" spans="1:8" ht="21.75" customHeight="1">
      <c r="D16" s="4" t="s">
        <v>36</v>
      </c>
      <c r="E16" s="5" t="s">
        <v>37</v>
      </c>
    </row>
    <row r="17" spans="4:5" ht="21.75" customHeight="1">
      <c r="D17" s="4" t="s">
        <v>38</v>
      </c>
      <c r="E17" s="5" t="s">
        <v>39</v>
      </c>
    </row>
  </sheetData>
  <mergeCells count="4">
    <mergeCell ref="A1:H1"/>
    <mergeCell ref="D5:H5"/>
    <mergeCell ref="A3:H3"/>
    <mergeCell ref="D13:H13"/>
  </mergeCells>
  <pageMargins left="0.4" right="0.4" top="0.5" bottom="0.6" header="0.511811023622047" footer="0.51180555555555596"/>
  <pageSetup paperSize="9" fitToHeight="0" orientation="portrait" horizontalDpi="300" verticalDpi="300"/>
  <headerFooter>
    <oddFooter>&amp;C&amp;A  |  Page &amp;P of &amp;N&amp;RITC327W Project Progress Workbook</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B2E59"/>
    <pageSetUpPr fitToPage="1"/>
  </sheetPr>
  <dimension ref="A1:L46"/>
  <sheetViews>
    <sheetView showGridLines="0" topLeftCell="A21" zoomScaleNormal="100" workbookViewId="0">
      <selection activeCell="I18" sqref="I18"/>
    </sheetView>
  </sheetViews>
  <sheetFormatPr defaultColWidth="9" defaultRowHeight="15"/>
  <cols>
    <col min="1" max="1" width="28" style="1" customWidth="1"/>
    <col min="2" max="2" width="64" style="1" customWidth="1"/>
    <col min="3" max="5" width="3" style="1" customWidth="1"/>
    <col min="6" max="6" width="28" style="1" customWidth="1"/>
    <col min="7" max="7" width="12" style="1" customWidth="1"/>
    <col min="8" max="8" width="3" style="1" customWidth="1"/>
    <col min="9" max="12" width="12" style="1" customWidth="1"/>
  </cols>
  <sheetData>
    <row r="1" spans="1:12" ht="30" customHeight="1">
      <c r="A1" s="28" t="s">
        <v>40</v>
      </c>
      <c r="B1" s="29"/>
      <c r="C1" s="29"/>
      <c r="D1" s="29"/>
      <c r="E1" s="29"/>
      <c r="F1" s="29"/>
      <c r="G1" s="29"/>
      <c r="H1" s="29"/>
      <c r="I1" s="29"/>
      <c r="J1" s="29"/>
      <c r="K1" s="29"/>
      <c r="L1" s="29"/>
    </row>
    <row r="2" spans="1:12" ht="7.5" customHeight="1"/>
    <row r="3" spans="1:12" ht="24" customHeight="1">
      <c r="A3" s="3" t="s">
        <v>41</v>
      </c>
      <c r="B3" s="3" t="s">
        <v>42</v>
      </c>
      <c r="F3" s="7" t="s">
        <v>43</v>
      </c>
      <c r="G3" s="7" t="s">
        <v>44</v>
      </c>
    </row>
    <row r="4" spans="1:12" ht="21.75" customHeight="1">
      <c r="A4" s="4" t="s">
        <v>45</v>
      </c>
      <c r="B4" s="8" t="s">
        <v>46</v>
      </c>
      <c r="F4" s="4" t="s">
        <v>47</v>
      </c>
      <c r="G4" s="9">
        <f>COUNTIFS('Task Progress'!$B$3:$B$216,$B$8,'Task Progress'!$H$3:$H$216,"Completed")</f>
        <v>11</v>
      </c>
    </row>
    <row r="5" spans="1:12" ht="36.75" customHeight="1">
      <c r="A5" s="4" t="s">
        <v>48</v>
      </c>
      <c r="B5" s="8" t="s">
        <v>49</v>
      </c>
      <c r="F5" s="4" t="s">
        <v>50</v>
      </c>
      <c r="G5" s="9">
        <f>COUNTIFS('Task Progress'!$B$3:$B$216,$B$8,'Task Progress'!$H$3:$H$216,"In Progress")</f>
        <v>0</v>
      </c>
    </row>
    <row r="6" spans="1:12" ht="21.75" customHeight="1">
      <c r="A6" s="4" t="s">
        <v>51</v>
      </c>
      <c r="B6" s="8" t="s">
        <v>52</v>
      </c>
      <c r="F6" s="4" t="s">
        <v>53</v>
      </c>
      <c r="G6" s="9">
        <f>COUNTIFS('Task Progress'!$B$3:$B$216,$B$8,'Task Progress'!$H$3:$H$216,"Not Started")</f>
        <v>0</v>
      </c>
    </row>
    <row r="7" spans="1:12" ht="21.75" customHeight="1">
      <c r="A7" s="4" t="s">
        <v>54</v>
      </c>
      <c r="B7" s="8" t="s">
        <v>55</v>
      </c>
      <c r="F7" s="4" t="s">
        <v>56</v>
      </c>
      <c r="G7" s="9">
        <f>COUNTIFS('Task Progress'!$B$3:$B$216,$B$8,'Task Progress'!$H$3:$H$216,"Delayed")</f>
        <v>0</v>
      </c>
    </row>
    <row r="8" spans="1:12" ht="21.75" customHeight="1">
      <c r="A8" s="4" t="s">
        <v>57</v>
      </c>
      <c r="B8" s="8" t="s">
        <v>32</v>
      </c>
      <c r="F8" s="4" t="s">
        <v>58</v>
      </c>
      <c r="G8" s="9">
        <f>COUNTIFS('Task Progress'!$B$3:$B$216,$B$8,'Task Progress'!$H$3:$H$216,"Blocked")</f>
        <v>0</v>
      </c>
    </row>
    <row r="9" spans="1:12" ht="21.75" customHeight="1">
      <c r="A9" s="4" t="s">
        <v>59</v>
      </c>
      <c r="B9" s="8" t="s">
        <v>60</v>
      </c>
      <c r="F9" s="4" t="s">
        <v>61</v>
      </c>
      <c r="G9" s="9">
        <f ca="1">COUNTIFS('Task Progress'!$B$3:$B$216,$B$8,'Task Progress'!$M$3:$M$216,"Overdue")</f>
        <v>0</v>
      </c>
    </row>
    <row r="10" spans="1:12" ht="21.75" customHeight="1">
      <c r="A10" s="4" t="s">
        <v>62</v>
      </c>
      <c r="B10" s="8" t="s">
        <v>47</v>
      </c>
    </row>
    <row r="11" spans="1:12" ht="24" customHeight="1">
      <c r="A11" s="4" t="s">
        <v>63</v>
      </c>
      <c r="B11" s="10">
        <v>1</v>
      </c>
      <c r="F11" s="3" t="s">
        <v>64</v>
      </c>
      <c r="G11" s="3" t="s">
        <v>44</v>
      </c>
    </row>
    <row r="12" spans="1:12" ht="51.75" customHeight="1">
      <c r="A12" s="4" t="s">
        <v>65</v>
      </c>
      <c r="B12" s="8" t="s">
        <v>66</v>
      </c>
      <c r="F12" s="4" t="s">
        <v>67</v>
      </c>
      <c r="G12" s="9">
        <f>COUNTIFS('Individual Contributions'!$C$3:$C$316,$B$8,'Individual Contributions'!$E$3:$E$316,"?*")</f>
        <v>5</v>
      </c>
    </row>
    <row r="13" spans="1:12" ht="51.75" customHeight="1">
      <c r="A13" s="4" t="s">
        <v>68</v>
      </c>
      <c r="B13" s="8" t="s">
        <v>69</v>
      </c>
      <c r="F13" s="4" t="s">
        <v>70</v>
      </c>
      <c r="G13" s="9">
        <f>COUNTIFS('Individual Contributions'!$C$3:$C$316,$B$8,'Individual Contributions'!$E$3:$E$316,"?*",'Individual Contributions'!$J$3:$J$316,"Yes")</f>
        <v>5</v>
      </c>
    </row>
    <row r="14" spans="1:12" ht="51.75" customHeight="1">
      <c r="A14" s="4" t="s">
        <v>71</v>
      </c>
      <c r="B14" s="8" t="s">
        <v>72</v>
      </c>
      <c r="F14" s="4" t="s">
        <v>73</v>
      </c>
      <c r="G14" s="9">
        <f>COUNTIFS('Individual Contributions'!$C$3:$C$316,$B$8,'Individual Contributions'!$E$3:$E$316,"?*",'Individual Contributions'!$J$3:$J$316,"No")</f>
        <v>0</v>
      </c>
    </row>
    <row r="15" spans="1:12" ht="14.25" customHeight="1">
      <c r="F15" s="4" t="s">
        <v>74</v>
      </c>
      <c r="G15" s="9">
        <f>COUNTIFS('Stakeholder Engagement'!$B$3:$B$216,$B$8,'Stakeholder Engagement'!$A$3:$A$216,"&gt;0")</f>
        <v>2</v>
      </c>
    </row>
    <row r="16" spans="1:12" ht="13.5" customHeight="1"/>
    <row r="17" spans="1:7" ht="13.5" customHeight="1"/>
    <row r="18" spans="1:7" ht="24" customHeight="1">
      <c r="A18" s="3" t="s">
        <v>75</v>
      </c>
      <c r="B18" s="3" t="s">
        <v>42</v>
      </c>
      <c r="F18" s="7" t="s">
        <v>43</v>
      </c>
      <c r="G18" s="7" t="s">
        <v>44</v>
      </c>
    </row>
    <row r="19" spans="1:7" ht="21.75" customHeight="1">
      <c r="A19" s="4" t="s">
        <v>57</v>
      </c>
      <c r="B19" s="8" t="s">
        <v>76</v>
      </c>
      <c r="F19" s="4" t="s">
        <v>47</v>
      </c>
      <c r="G19" s="9">
        <f>COUNTIFS('Task Progress'!$B$3:$B$216,$B$19,'Task Progress'!$H$3:$H$216,"Completed")</f>
        <v>12</v>
      </c>
    </row>
    <row r="20" spans="1:7" ht="21.75" customHeight="1">
      <c r="A20" s="4" t="s">
        <v>59</v>
      </c>
      <c r="B20" s="8" t="s">
        <v>77</v>
      </c>
      <c r="F20" s="4" t="s">
        <v>50</v>
      </c>
      <c r="G20" s="9">
        <f>COUNTIFS('Task Progress'!$B$3:$B$216,$B$19,'Task Progress'!$H$3:$H$216,"In Progress")</f>
        <v>0</v>
      </c>
    </row>
    <row r="21" spans="1:7" ht="21.75" customHeight="1">
      <c r="A21" s="4" t="s">
        <v>62</v>
      </c>
      <c r="B21" s="8" t="s">
        <v>47</v>
      </c>
      <c r="F21" s="4" t="s">
        <v>53</v>
      </c>
      <c r="G21" s="9">
        <f>COUNTIFS('Task Progress'!$B$3:$B$216,$B$19,'Task Progress'!$H$3:$H$216,"Not Started")</f>
        <v>0</v>
      </c>
    </row>
    <row r="22" spans="1:7" ht="21.75" customHeight="1">
      <c r="A22" s="4" t="s">
        <v>63</v>
      </c>
      <c r="B22" s="11">
        <v>1</v>
      </c>
      <c r="F22" s="4" t="s">
        <v>56</v>
      </c>
      <c r="G22" s="9">
        <f>COUNTIFS('Task Progress'!$B$3:$B$216,$B$19,'Task Progress'!$H$3:$H$216,"Delayed")</f>
        <v>0</v>
      </c>
    </row>
    <row r="23" spans="1:7" ht="51.75" customHeight="1">
      <c r="A23" s="4" t="s">
        <v>65</v>
      </c>
      <c r="B23" s="8" t="s">
        <v>78</v>
      </c>
      <c r="F23" s="4" t="s">
        <v>58</v>
      </c>
      <c r="G23" s="9">
        <f>COUNTIFS('Task Progress'!$B$3:$B$216,$B$19,'Task Progress'!$H$3:$H$216,"Blocked")</f>
        <v>0</v>
      </c>
    </row>
    <row r="24" spans="1:7" ht="36.75" customHeight="1">
      <c r="A24" s="4" t="s">
        <v>68</v>
      </c>
      <c r="B24" s="8" t="s">
        <v>79</v>
      </c>
      <c r="F24" s="4" t="s">
        <v>61</v>
      </c>
      <c r="G24" s="9">
        <f ca="1">COUNTIFS('Task Progress'!$B$3:$B$216,$B$19,'Task Progress'!$M$3:$M$216,"Overdue")</f>
        <v>0</v>
      </c>
    </row>
    <row r="25" spans="1:7" ht="36.75" customHeight="1">
      <c r="A25" s="4" t="s">
        <v>71</v>
      </c>
      <c r="B25" s="8" t="s">
        <v>80</v>
      </c>
    </row>
    <row r="26" spans="1:7" ht="24" customHeight="1">
      <c r="F26" s="3" t="s">
        <v>64</v>
      </c>
      <c r="G26" s="3" t="s">
        <v>44</v>
      </c>
    </row>
    <row r="27" spans="1:7" ht="15" customHeight="1">
      <c r="F27" s="4" t="s">
        <v>67</v>
      </c>
      <c r="G27" s="9">
        <f>COUNTIFS('Individual Contributions'!$C$3:$C$316,$B$19,'Individual Contributions'!$E$3:$E$316,"?*")</f>
        <v>11</v>
      </c>
    </row>
    <row r="28" spans="1:7" ht="15" customHeight="1">
      <c r="F28" s="4" t="s">
        <v>70</v>
      </c>
      <c r="G28" s="9">
        <f>COUNTIFS('Individual Contributions'!$C$3:$C$316,$B$19,'Individual Contributions'!$E$3:$E$316,"?*",'Individual Contributions'!$J$3:$J$316,"Yes")</f>
        <v>11</v>
      </c>
    </row>
    <row r="29" spans="1:7" ht="15" customHeight="1">
      <c r="F29" s="4" t="s">
        <v>73</v>
      </c>
      <c r="G29" s="9">
        <f>COUNTIFS('Individual Contributions'!$C$3:$C$316,$B$19,'Individual Contributions'!$E$3:$E$316,"?*",'Individual Contributions'!$J$3:$J$316,"No")</f>
        <v>0</v>
      </c>
    </row>
    <row r="30" spans="1:7" ht="15" customHeight="1">
      <c r="F30" s="4" t="s">
        <v>74</v>
      </c>
      <c r="G30" s="9">
        <f>COUNTIFS('Stakeholder Engagement'!$B$3:$B$216,$B$19,'Stakeholder Engagement'!$A$3:$A$216,"&gt;0")</f>
        <v>1</v>
      </c>
    </row>
    <row r="31" spans="1:7" ht="13.5" customHeight="1"/>
    <row r="32" spans="1:7" ht="13.5" customHeight="1"/>
    <row r="33" spans="1:7" ht="24" customHeight="1">
      <c r="A33" s="3" t="s">
        <v>81</v>
      </c>
      <c r="B33" s="3" t="s">
        <v>42</v>
      </c>
      <c r="F33" s="7" t="s">
        <v>43</v>
      </c>
      <c r="G33" s="7" t="s">
        <v>44</v>
      </c>
    </row>
    <row r="34" spans="1:7" ht="21.75" customHeight="1">
      <c r="A34" s="4" t="s">
        <v>57</v>
      </c>
      <c r="B34" s="8" t="s">
        <v>36</v>
      </c>
      <c r="F34" s="4" t="s">
        <v>47</v>
      </c>
      <c r="G34" s="9">
        <f>COUNTIFS('Task Progress'!$B$3:$B$216,$B$34,'Task Progress'!$H$3:$H$216,"Completed")</f>
        <v>18</v>
      </c>
    </row>
    <row r="35" spans="1:7" ht="21.75" customHeight="1">
      <c r="A35" s="4" t="s">
        <v>59</v>
      </c>
      <c r="B35" s="8" t="s">
        <v>82</v>
      </c>
      <c r="F35" s="4" t="s">
        <v>50</v>
      </c>
      <c r="G35" s="9">
        <f>COUNTIFS('Task Progress'!$B$3:$B$216,$B$34,'Task Progress'!$H$3:$H$216,"In Progress")</f>
        <v>0</v>
      </c>
    </row>
    <row r="36" spans="1:7" ht="21.75" customHeight="1">
      <c r="A36" s="4" t="s">
        <v>62</v>
      </c>
      <c r="B36" s="8" t="s">
        <v>47</v>
      </c>
      <c r="F36" s="4" t="s">
        <v>53</v>
      </c>
      <c r="G36" s="9">
        <f>COUNTIFS('Task Progress'!$B$3:$B$216,$B$34,'Task Progress'!$H$3:$H$216,"Not Started")</f>
        <v>0</v>
      </c>
    </row>
    <row r="37" spans="1:7" ht="21.75" customHeight="1">
      <c r="A37" s="4" t="s">
        <v>63</v>
      </c>
      <c r="B37" s="10">
        <v>1</v>
      </c>
      <c r="F37" s="4" t="s">
        <v>56</v>
      </c>
      <c r="G37" s="9">
        <f>COUNTIFS('Task Progress'!$B$3:$B$216,$B$34,'Task Progress'!$H$3:$H$216,"Delayed")</f>
        <v>0</v>
      </c>
    </row>
    <row r="38" spans="1:7" ht="51.75" customHeight="1">
      <c r="A38" s="4" t="s">
        <v>65</v>
      </c>
      <c r="B38" s="8" t="s">
        <v>83</v>
      </c>
      <c r="F38" s="4" t="s">
        <v>58</v>
      </c>
      <c r="G38" s="9">
        <f>COUNTIFS('Task Progress'!$B$3:$B$216,$B$34,'Task Progress'!$H$3:$H$216,"Blocked")</f>
        <v>0</v>
      </c>
    </row>
    <row r="39" spans="1:7" ht="51.75" customHeight="1">
      <c r="A39" s="4" t="s">
        <v>68</v>
      </c>
      <c r="B39" s="8" t="s">
        <v>84</v>
      </c>
      <c r="F39" s="4" t="s">
        <v>61</v>
      </c>
      <c r="G39" s="9">
        <f ca="1">COUNTIFS('Task Progress'!$B$3:$B$216,$B$34,'Task Progress'!$M$3:$M$216,"Overdue")</f>
        <v>0</v>
      </c>
    </row>
    <row r="40" spans="1:7" ht="36.75" customHeight="1">
      <c r="A40" s="4" t="s">
        <v>71</v>
      </c>
      <c r="B40" s="8" t="s">
        <v>85</v>
      </c>
    </row>
    <row r="42" spans="1:7" ht="24" customHeight="1">
      <c r="F42" s="3" t="s">
        <v>64</v>
      </c>
      <c r="G42" s="3" t="s">
        <v>44</v>
      </c>
    </row>
    <row r="43" spans="1:7" ht="14.25" customHeight="1">
      <c r="F43" s="4" t="s">
        <v>67</v>
      </c>
      <c r="G43" s="9">
        <f>COUNTIFS('Individual Contributions'!$C$3:$C$316,$B$34,'Individual Contributions'!$E$3:$E$316,"?*")</f>
        <v>6</v>
      </c>
    </row>
    <row r="44" spans="1:7" ht="14.25" customHeight="1">
      <c r="F44" s="4" t="s">
        <v>70</v>
      </c>
      <c r="G44" s="9">
        <f>COUNTIFS('Individual Contributions'!$C$3:$C$316,$B$34,'Individual Contributions'!$E$3:$E$316,"?*",'Individual Contributions'!$J$3:$J$316,"Yes")</f>
        <v>6</v>
      </c>
    </row>
    <row r="45" spans="1:7" ht="14.25" customHeight="1">
      <c r="F45" s="4" t="s">
        <v>73</v>
      </c>
      <c r="G45" s="9">
        <f>COUNTIFS('Individual Contributions'!$C$3:$C$316,$B$34,'Individual Contributions'!$E$3:$E$316,"?*",'Individual Contributions'!$J$3:$J$316,"No")</f>
        <v>0</v>
      </c>
    </row>
    <row r="46" spans="1:7" ht="14.25" customHeight="1">
      <c r="F46" s="4" t="s">
        <v>74</v>
      </c>
      <c r="G46" s="9">
        <f>COUNTIFS('Stakeholder Engagement'!$B$3:$B$216,$B$34,'Stakeholder Engagement'!$A$3:$A$216,"&gt;0")</f>
        <v>0</v>
      </c>
    </row>
  </sheetData>
  <mergeCells count="1">
    <mergeCell ref="A1:L1"/>
  </mergeCells>
  <conditionalFormatting sqref="B10">
    <cfRule type="cellIs" dxfId="53" priority="2" operator="equal">
      <formula>"Completed"</formula>
    </cfRule>
    <cfRule type="cellIs" dxfId="52" priority="3" operator="equal">
      <formula>"In Progress"</formula>
    </cfRule>
    <cfRule type="cellIs" dxfId="51" priority="4" operator="equal">
      <formula>"Not Started"</formula>
    </cfRule>
    <cfRule type="cellIs" dxfId="50" priority="5" operator="equal">
      <formula>"Delayed"</formula>
    </cfRule>
    <cfRule type="cellIs" dxfId="49" priority="6" operator="equal">
      <formula>"Blocked"</formula>
    </cfRule>
  </conditionalFormatting>
  <conditionalFormatting sqref="B21">
    <cfRule type="cellIs" dxfId="48" priority="7" operator="equal">
      <formula>"Completed"</formula>
    </cfRule>
    <cfRule type="cellIs" dxfId="47" priority="8" operator="equal">
      <formula>"In Progress"</formula>
    </cfRule>
    <cfRule type="cellIs" dxfId="46" priority="9" operator="equal">
      <formula>"Not Started"</formula>
    </cfRule>
    <cfRule type="cellIs" dxfId="45" priority="10" operator="equal">
      <formula>"Delayed"</formula>
    </cfRule>
    <cfRule type="cellIs" dxfId="44" priority="11" operator="equal">
      <formula>"Blocked"</formula>
    </cfRule>
  </conditionalFormatting>
  <conditionalFormatting sqref="B36">
    <cfRule type="cellIs" dxfId="43" priority="12" operator="equal">
      <formula>"Completed"</formula>
    </cfRule>
    <cfRule type="cellIs" dxfId="42" priority="13" operator="equal">
      <formula>"In Progress"</formula>
    </cfRule>
    <cfRule type="cellIs" dxfId="41" priority="14" operator="equal">
      <formula>"Not Started"</formula>
    </cfRule>
    <cfRule type="cellIs" dxfId="40" priority="15" operator="equal">
      <formula>"Delayed"</formula>
    </cfRule>
    <cfRule type="cellIs" dxfId="39" priority="16" operator="equal">
      <formula>"Blocked"</formula>
    </cfRule>
  </conditionalFormatting>
  <dataValidations count="2">
    <dataValidation type="list" allowBlank="1" showErrorMessage="1" sqref="B8 B34 B19" xr:uid="{00000000-0002-0000-0100-000000000000}">
      <formula1>"Unit 1 / Phase 1,Unit 3 / Phase 2,Phase 3,Final"</formula1>
      <formula2>0</formula2>
    </dataValidation>
    <dataValidation type="list" allowBlank="1" showErrorMessage="1" sqref="B10 B36 B21" xr:uid="{00000000-0002-0000-0100-000003000000}">
      <formula1>"Not Started,In Progress,Completed,Delayed,Blocked"</formula1>
      <formula2>0</formula2>
    </dataValidation>
  </dataValidations>
  <pageMargins left="0.4" right="0.4" top="0.5" bottom="0.6" header="0.511811023622047" footer="0.51180555555555596"/>
  <pageSetup paperSize="9" fitToHeight="0" orientation="landscape" horizontalDpi="300" verticalDpi="300"/>
  <headerFooter>
    <oddFooter>&amp;C&amp;A  |  Page &amp;P of &amp;N&amp;RITC327W Project Progress Workbook</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pane ySplit="3" topLeftCell="A4" activePane="bottomLeft" state="frozen"/>
      <selection pane="bottomLeft" activeCell="C16" sqref="C16"/>
    </sheetView>
  </sheetViews>
  <sheetFormatPr defaultRowHeight="15"/>
  <cols>
    <col min="1" max="1" width="22" style="2" customWidth="1"/>
    <col min="2" max="2" width="34" style="2" customWidth="1"/>
    <col min="3" max="3" width="58" style="2" customWidth="1"/>
    <col min="4" max="4" width="12" style="2" customWidth="1"/>
    <col min="5" max="5" width="36" style="2" customWidth="1"/>
  </cols>
  <sheetData>
    <row r="1" spans="1:5" ht="27.95" customHeight="1">
      <c r="A1" s="33" t="s">
        <v>86</v>
      </c>
      <c r="B1" s="34"/>
      <c r="C1" s="34"/>
      <c r="D1" s="34"/>
      <c r="E1" s="34"/>
    </row>
    <row r="2" spans="1:5" ht="32.1" customHeight="1">
      <c r="A2" s="12" t="s">
        <v>3</v>
      </c>
      <c r="B2" s="12" t="s">
        <v>87</v>
      </c>
      <c r="C2" s="12"/>
      <c r="D2" s="12"/>
      <c r="E2" s="12"/>
    </row>
    <row r="3" spans="1:5" ht="32.1" customHeight="1">
      <c r="A3" s="13" t="s">
        <v>88</v>
      </c>
      <c r="B3" s="13" t="s">
        <v>89</v>
      </c>
      <c r="C3" s="13" t="s">
        <v>90</v>
      </c>
      <c r="D3" s="13" t="s">
        <v>91</v>
      </c>
      <c r="E3" s="13" t="s">
        <v>92</v>
      </c>
    </row>
    <row r="4" spans="1:5" ht="42" customHeight="1">
      <c r="A4" s="14" t="s">
        <v>93</v>
      </c>
      <c r="B4" s="14" t="s">
        <v>94</v>
      </c>
      <c r="C4" s="14" t="s">
        <v>95</v>
      </c>
      <c r="D4" s="14" t="s">
        <v>96</v>
      </c>
      <c r="E4" s="14" t="s">
        <v>97</v>
      </c>
    </row>
    <row r="5" spans="1:5" ht="42" customHeight="1">
      <c r="A5" s="14" t="s">
        <v>98</v>
      </c>
      <c r="B5" s="14" t="s">
        <v>99</v>
      </c>
      <c r="C5" s="14" t="s">
        <v>100</v>
      </c>
      <c r="D5" s="14" t="s">
        <v>96</v>
      </c>
      <c r="E5" s="14" t="s">
        <v>97</v>
      </c>
    </row>
    <row r="6" spans="1:5" ht="42" customHeight="1">
      <c r="A6" s="14" t="s">
        <v>101</v>
      </c>
      <c r="B6" s="14" t="s">
        <v>102</v>
      </c>
      <c r="C6" s="14" t="s">
        <v>103</v>
      </c>
      <c r="D6" s="14" t="s">
        <v>96</v>
      </c>
      <c r="E6" s="14" t="s">
        <v>97</v>
      </c>
    </row>
    <row r="7" spans="1:5" ht="42" customHeight="1">
      <c r="A7" s="14" t="s">
        <v>104</v>
      </c>
      <c r="B7" s="14" t="s">
        <v>105</v>
      </c>
      <c r="C7" s="14" t="s">
        <v>106</v>
      </c>
      <c r="D7" s="14" t="s">
        <v>96</v>
      </c>
      <c r="E7" s="14" t="s">
        <v>97</v>
      </c>
    </row>
    <row r="8" spans="1:5" ht="42" customHeight="1">
      <c r="A8" s="14" t="s">
        <v>107</v>
      </c>
      <c r="B8" s="14" t="s">
        <v>108</v>
      </c>
      <c r="C8" s="14" t="s">
        <v>109</v>
      </c>
      <c r="D8" s="14" t="s">
        <v>96</v>
      </c>
      <c r="E8" s="14" t="s">
        <v>97</v>
      </c>
    </row>
    <row r="9" spans="1:5" ht="32.1" customHeight="1">
      <c r="A9" s="14" t="s">
        <v>110</v>
      </c>
      <c r="B9" s="14" t="s">
        <v>111</v>
      </c>
      <c r="C9" s="14" t="s">
        <v>112</v>
      </c>
      <c r="D9" s="14" t="s">
        <v>113</v>
      </c>
      <c r="E9" s="14" t="s">
        <v>114</v>
      </c>
    </row>
    <row r="10" spans="1:5" ht="32.1" customHeight="1">
      <c r="A10" s="14"/>
      <c r="B10" s="14"/>
      <c r="C10" s="14"/>
      <c r="D10" s="14"/>
      <c r="E10" s="14"/>
    </row>
    <row r="11" spans="1:5">
      <c r="A11" s="1"/>
      <c r="B11" s="1"/>
    </row>
  </sheetData>
  <autoFilter ref="A3:E8" xr:uid="{00000000-0009-0000-0000-000002000000}"/>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B2E59"/>
    <pageSetUpPr fitToPage="1"/>
  </sheetPr>
  <dimension ref="A1:M217"/>
  <sheetViews>
    <sheetView showGridLines="0" topLeftCell="B2" zoomScaleNormal="100" workbookViewId="0">
      <pane xSplit="1" ySplit="2" topLeftCell="D126" activePane="bottomRight" state="frozen"/>
      <selection activeCell="B2" sqref="B2"/>
      <selection pane="topRight" activeCell="B2" sqref="B2"/>
      <selection pane="bottomLeft" activeCell="B3" sqref="B3"/>
      <selection pane="bottomRight" activeCell="J4" sqref="J4"/>
    </sheetView>
  </sheetViews>
  <sheetFormatPr defaultColWidth="9" defaultRowHeight="15" outlineLevelRow="1"/>
  <cols>
    <col min="1" max="1" width="10" style="1" customWidth="1"/>
    <col min="2" max="2" width="19" style="1" customWidth="1"/>
    <col min="3" max="3" width="15" style="1" customWidth="1"/>
    <col min="4" max="4" width="52" style="1" customWidth="1"/>
    <col min="5" max="5" width="30" style="1" customWidth="1"/>
    <col min="6" max="7" width="13" style="1" customWidth="1"/>
    <col min="8" max="8" width="14" style="1" customWidth="1"/>
    <col min="9" max="9" width="13" style="1" customWidth="1"/>
    <col min="10" max="10" width="46" style="1" customWidth="1"/>
    <col min="11" max="11" width="13" style="1" customWidth="1"/>
    <col min="12" max="12" width="30" style="1" customWidth="1"/>
    <col min="13" max="13" width="14" style="1" customWidth="1"/>
  </cols>
  <sheetData>
    <row r="1" spans="1:13" ht="30" customHeight="1">
      <c r="A1" s="28" t="s">
        <v>115</v>
      </c>
      <c r="B1" s="29"/>
      <c r="C1" s="29"/>
      <c r="D1" s="29"/>
      <c r="E1" s="29"/>
      <c r="F1" s="29"/>
      <c r="G1" s="29"/>
      <c r="H1" s="29"/>
      <c r="I1" s="29"/>
      <c r="J1" s="29"/>
      <c r="K1" s="29"/>
      <c r="L1" s="29"/>
      <c r="M1" s="29"/>
    </row>
    <row r="2" spans="1:13" ht="31.5" customHeight="1">
      <c r="A2" s="15" t="s">
        <v>116</v>
      </c>
      <c r="B2" s="15" t="s">
        <v>117</v>
      </c>
      <c r="C2" s="15" t="s">
        <v>118</v>
      </c>
      <c r="D2" s="15" t="s">
        <v>119</v>
      </c>
      <c r="E2" s="15" t="s">
        <v>120</v>
      </c>
      <c r="F2" s="15" t="s">
        <v>121</v>
      </c>
      <c r="G2" s="15" t="s">
        <v>122</v>
      </c>
      <c r="H2" s="15" t="s">
        <v>123</v>
      </c>
      <c r="I2" s="15" t="s">
        <v>124</v>
      </c>
      <c r="J2" s="15" t="s">
        <v>125</v>
      </c>
      <c r="K2" s="15" t="s">
        <v>126</v>
      </c>
      <c r="L2" s="15" t="s">
        <v>127</v>
      </c>
      <c r="M2" s="15" t="s">
        <v>128</v>
      </c>
    </row>
    <row r="3" spans="1:13" ht="36.75" customHeight="1">
      <c r="A3" s="16" t="s">
        <v>129</v>
      </c>
      <c r="B3" s="17" t="s">
        <v>32</v>
      </c>
      <c r="C3" s="17" t="s">
        <v>130</v>
      </c>
      <c r="D3" s="18" t="s">
        <v>131</v>
      </c>
      <c r="E3" s="18" t="s">
        <v>132</v>
      </c>
      <c r="F3" s="19">
        <v>46252</v>
      </c>
      <c r="G3" s="19">
        <v>46255</v>
      </c>
      <c r="H3" s="17" t="s">
        <v>47</v>
      </c>
      <c r="I3" s="20">
        <v>100</v>
      </c>
      <c r="J3" s="18" t="s">
        <v>133</v>
      </c>
      <c r="K3" s="17" t="s">
        <v>96</v>
      </c>
      <c r="L3" s="18"/>
      <c r="M3" s="17" t="str">
        <f t="shared" ref="M3:M66" ca="1" si="0">IF(D3="","",IF(H3="Completed","Completed",IF(H3="Blocked","Blocked",IF(H3="Delayed","Delayed",IF(AND(G3&lt;&gt;"",G3&lt;TODAY(),H3&lt;&gt;"Completed"),"Overdue","On Track")))))</f>
        <v>Completed</v>
      </c>
    </row>
    <row r="4" spans="1:13" ht="36.75" customHeight="1">
      <c r="A4" s="16" t="s">
        <v>134</v>
      </c>
      <c r="B4" s="17" t="s">
        <v>32</v>
      </c>
      <c r="C4" s="17" t="s">
        <v>130</v>
      </c>
      <c r="D4" s="18" t="s">
        <v>135</v>
      </c>
      <c r="E4" s="18" t="s">
        <v>136</v>
      </c>
      <c r="F4" s="19">
        <v>46252</v>
      </c>
      <c r="G4" s="19">
        <v>46256</v>
      </c>
      <c r="H4" s="17" t="s">
        <v>47</v>
      </c>
      <c r="I4" s="20">
        <v>100</v>
      </c>
      <c r="J4" s="18" t="s">
        <v>137</v>
      </c>
      <c r="K4" s="17" t="s">
        <v>96</v>
      </c>
      <c r="L4" s="18"/>
      <c r="M4" s="17" t="str">
        <f t="shared" ca="1" si="0"/>
        <v>Completed</v>
      </c>
    </row>
    <row r="5" spans="1:13" ht="36.75" customHeight="1">
      <c r="A5" s="16" t="s">
        <v>138</v>
      </c>
      <c r="B5" s="17" t="s">
        <v>32</v>
      </c>
      <c r="C5" s="17" t="s">
        <v>130</v>
      </c>
      <c r="D5" s="18" t="s">
        <v>139</v>
      </c>
      <c r="E5" s="18" t="s">
        <v>140</v>
      </c>
      <c r="F5" s="19">
        <v>46253</v>
      </c>
      <c r="G5" s="19">
        <v>46256</v>
      </c>
      <c r="H5" s="17" t="s">
        <v>47</v>
      </c>
      <c r="I5" s="20">
        <v>100</v>
      </c>
      <c r="J5" s="18" t="s">
        <v>141</v>
      </c>
      <c r="K5" s="17" t="s">
        <v>96</v>
      </c>
      <c r="L5" s="18"/>
      <c r="M5" s="17" t="str">
        <f t="shared" ca="1" si="0"/>
        <v>Completed</v>
      </c>
    </row>
    <row r="6" spans="1:13" ht="36.75" customHeight="1">
      <c r="A6" s="16" t="s">
        <v>142</v>
      </c>
      <c r="B6" s="17" t="s">
        <v>32</v>
      </c>
      <c r="C6" s="17" t="s">
        <v>143</v>
      </c>
      <c r="D6" s="18" t="s">
        <v>144</v>
      </c>
      <c r="E6" s="18" t="s">
        <v>132</v>
      </c>
      <c r="F6" s="19">
        <v>46254</v>
      </c>
      <c r="G6" s="19">
        <v>46255</v>
      </c>
      <c r="H6" s="17" t="s">
        <v>47</v>
      </c>
      <c r="I6" s="20">
        <v>100</v>
      </c>
      <c r="J6" s="18" t="s">
        <v>145</v>
      </c>
      <c r="K6" s="17" t="s">
        <v>96</v>
      </c>
      <c r="L6" s="18"/>
      <c r="M6" s="17" t="str">
        <f t="shared" ca="1" si="0"/>
        <v>Completed</v>
      </c>
    </row>
    <row r="7" spans="1:13" ht="36.75" customHeight="1">
      <c r="A7" s="16" t="s">
        <v>146</v>
      </c>
      <c r="B7" s="17" t="s">
        <v>32</v>
      </c>
      <c r="C7" s="17" t="s">
        <v>143</v>
      </c>
      <c r="D7" s="18" t="s">
        <v>147</v>
      </c>
      <c r="E7" s="18" t="s">
        <v>148</v>
      </c>
      <c r="F7" s="19">
        <v>46255</v>
      </c>
      <c r="G7" s="19">
        <v>46257</v>
      </c>
      <c r="H7" s="17" t="s">
        <v>47</v>
      </c>
      <c r="I7" s="20">
        <v>100</v>
      </c>
      <c r="J7" s="18" t="s">
        <v>149</v>
      </c>
      <c r="K7" s="17" t="s">
        <v>96</v>
      </c>
      <c r="L7" s="18"/>
      <c r="M7" s="17" t="str">
        <f t="shared" ca="1" si="0"/>
        <v>Completed</v>
      </c>
    </row>
    <row r="8" spans="1:13" ht="36.75" customHeight="1">
      <c r="A8" s="16" t="s">
        <v>150</v>
      </c>
      <c r="B8" s="17" t="s">
        <v>32</v>
      </c>
      <c r="C8" s="17" t="s">
        <v>151</v>
      </c>
      <c r="D8" s="18" t="s">
        <v>152</v>
      </c>
      <c r="E8" s="18" t="s">
        <v>148</v>
      </c>
      <c r="F8" s="19">
        <v>46255</v>
      </c>
      <c r="G8" s="19">
        <v>46259</v>
      </c>
      <c r="H8" s="17" t="s">
        <v>47</v>
      </c>
      <c r="I8" s="20">
        <v>100</v>
      </c>
      <c r="J8" s="18" t="s">
        <v>153</v>
      </c>
      <c r="K8" s="17" t="s">
        <v>96</v>
      </c>
      <c r="L8" s="18"/>
      <c r="M8" s="17" t="str">
        <f t="shared" ca="1" si="0"/>
        <v>Completed</v>
      </c>
    </row>
    <row r="9" spans="1:13" ht="36.75" customHeight="1">
      <c r="A9" s="16" t="s">
        <v>154</v>
      </c>
      <c r="B9" s="17" t="s">
        <v>32</v>
      </c>
      <c r="C9" s="17" t="s">
        <v>151</v>
      </c>
      <c r="D9" s="18" t="s">
        <v>155</v>
      </c>
      <c r="E9" s="18" t="s">
        <v>156</v>
      </c>
      <c r="F9" s="19">
        <v>46257</v>
      </c>
      <c r="G9" s="19">
        <v>46258</v>
      </c>
      <c r="H9" s="17" t="s">
        <v>47</v>
      </c>
      <c r="I9" s="20">
        <v>100</v>
      </c>
      <c r="J9" s="18" t="s">
        <v>157</v>
      </c>
      <c r="K9" s="17" t="s">
        <v>96</v>
      </c>
      <c r="L9" s="18"/>
      <c r="M9" s="17" t="str">
        <f t="shared" ca="1" si="0"/>
        <v>Completed</v>
      </c>
    </row>
    <row r="10" spans="1:13" ht="36.75" customHeight="1">
      <c r="A10" s="16" t="s">
        <v>158</v>
      </c>
      <c r="B10" s="17" t="s">
        <v>32</v>
      </c>
      <c r="C10" s="17" t="s">
        <v>151</v>
      </c>
      <c r="D10" s="18" t="s">
        <v>159</v>
      </c>
      <c r="E10" s="18" t="s">
        <v>160</v>
      </c>
      <c r="F10" s="19">
        <v>46256</v>
      </c>
      <c r="G10" s="19">
        <v>46257</v>
      </c>
      <c r="H10" s="17" t="s">
        <v>47</v>
      </c>
      <c r="I10" s="20">
        <v>100</v>
      </c>
      <c r="J10" s="21" t="s">
        <v>161</v>
      </c>
      <c r="K10" s="17" t="s">
        <v>96</v>
      </c>
      <c r="L10" s="18"/>
      <c r="M10" s="17" t="str">
        <f t="shared" ca="1" si="0"/>
        <v>Completed</v>
      </c>
    </row>
    <row r="11" spans="1:13" ht="36.75" customHeight="1">
      <c r="A11" s="16" t="s">
        <v>162</v>
      </c>
      <c r="B11" s="17" t="s">
        <v>32</v>
      </c>
      <c r="C11" s="17" t="s">
        <v>151</v>
      </c>
      <c r="D11" s="18" t="s">
        <v>163</v>
      </c>
      <c r="E11" s="18" t="s">
        <v>164</v>
      </c>
      <c r="F11" s="19">
        <v>46257</v>
      </c>
      <c r="G11" s="19">
        <v>46258</v>
      </c>
      <c r="H11" s="17" t="s">
        <v>47</v>
      </c>
      <c r="I11" s="20">
        <v>100</v>
      </c>
      <c r="J11" s="21" t="s">
        <v>165</v>
      </c>
      <c r="K11" s="17" t="s">
        <v>96</v>
      </c>
      <c r="L11" s="18"/>
      <c r="M11" s="17" t="str">
        <f t="shared" ca="1" si="0"/>
        <v>Completed</v>
      </c>
    </row>
    <row r="12" spans="1:13" ht="36.75" customHeight="1">
      <c r="A12" s="16" t="s">
        <v>166</v>
      </c>
      <c r="B12" s="17" t="s">
        <v>32</v>
      </c>
      <c r="C12" s="17" t="s">
        <v>151</v>
      </c>
      <c r="D12" s="18" t="s">
        <v>167</v>
      </c>
      <c r="E12" s="18" t="s">
        <v>168</v>
      </c>
      <c r="F12" s="19">
        <v>46258</v>
      </c>
      <c r="G12" s="19">
        <v>46259</v>
      </c>
      <c r="H12" s="17" t="s">
        <v>47</v>
      </c>
      <c r="I12" s="20">
        <v>100</v>
      </c>
      <c r="J12" s="18" t="s">
        <v>169</v>
      </c>
      <c r="K12" s="17" t="s">
        <v>96</v>
      </c>
      <c r="L12" s="18"/>
      <c r="M12" s="17" t="str">
        <f t="shared" ca="1" si="0"/>
        <v>Completed</v>
      </c>
    </row>
    <row r="13" spans="1:13" ht="36.75" customHeight="1">
      <c r="A13" s="16" t="s">
        <v>170</v>
      </c>
      <c r="B13" s="17" t="s">
        <v>32</v>
      </c>
      <c r="C13" s="17" t="s">
        <v>151</v>
      </c>
      <c r="D13" s="18" t="s">
        <v>171</v>
      </c>
      <c r="E13" s="18" t="s">
        <v>148</v>
      </c>
      <c r="F13" s="19">
        <v>46258</v>
      </c>
      <c r="G13" s="19">
        <v>46259</v>
      </c>
      <c r="H13" s="17" t="s">
        <v>47</v>
      </c>
      <c r="I13" s="20">
        <v>100</v>
      </c>
      <c r="J13" s="18" t="s">
        <v>172</v>
      </c>
      <c r="K13" s="17" t="s">
        <v>96</v>
      </c>
      <c r="L13" s="18"/>
      <c r="M13" s="17" t="str">
        <f t="shared" ca="1" si="0"/>
        <v>Completed</v>
      </c>
    </row>
    <row r="14" spans="1:13" ht="21" customHeight="1">
      <c r="A14" s="16"/>
      <c r="B14" s="17"/>
      <c r="C14" s="17"/>
      <c r="D14" s="18"/>
      <c r="E14" s="18"/>
      <c r="F14" s="19"/>
      <c r="G14" s="19"/>
      <c r="H14" s="17"/>
      <c r="I14" s="20"/>
      <c r="J14" s="18"/>
      <c r="K14" s="17"/>
      <c r="L14" s="18"/>
      <c r="M14" s="17" t="str">
        <f t="shared" ca="1" si="0"/>
        <v/>
      </c>
    </row>
    <row r="15" spans="1:13" ht="21" customHeight="1">
      <c r="A15" s="16"/>
      <c r="B15" s="17"/>
      <c r="C15" s="17"/>
      <c r="D15" s="18"/>
      <c r="E15" s="18"/>
      <c r="F15" s="19"/>
      <c r="G15" s="19"/>
      <c r="H15" s="17"/>
      <c r="I15" s="20"/>
      <c r="J15" s="18"/>
      <c r="K15" s="17"/>
      <c r="L15" s="18"/>
      <c r="M15" s="17" t="str">
        <f t="shared" ca="1" si="0"/>
        <v/>
      </c>
    </row>
    <row r="16" spans="1:13" ht="21" customHeight="1">
      <c r="A16" s="16"/>
      <c r="B16" s="17"/>
      <c r="C16" s="17"/>
      <c r="D16" s="18"/>
      <c r="E16" s="18"/>
      <c r="F16" s="19"/>
      <c r="G16" s="19"/>
      <c r="H16" s="17"/>
      <c r="I16" s="20"/>
      <c r="J16" s="18"/>
      <c r="K16" s="17"/>
      <c r="L16" s="18"/>
      <c r="M16" s="17" t="str">
        <f t="shared" ca="1" si="0"/>
        <v/>
      </c>
    </row>
    <row r="17" spans="1:13" ht="14.25" hidden="1" customHeight="1" outlineLevel="1">
      <c r="A17" s="16"/>
      <c r="B17" s="17"/>
      <c r="C17" s="17"/>
      <c r="D17" s="18"/>
      <c r="E17" s="18"/>
      <c r="F17" s="19"/>
      <c r="G17" s="19"/>
      <c r="H17" s="17"/>
      <c r="I17" s="20"/>
      <c r="J17" s="18"/>
      <c r="K17" s="17"/>
      <c r="L17" s="18"/>
      <c r="M17" s="17" t="str">
        <f t="shared" ca="1" si="0"/>
        <v/>
      </c>
    </row>
    <row r="18" spans="1:13" ht="14.25" hidden="1" customHeight="1" outlineLevel="1">
      <c r="A18" s="16"/>
      <c r="B18" s="17"/>
      <c r="C18" s="17"/>
      <c r="D18" s="18"/>
      <c r="E18" s="18"/>
      <c r="F18" s="19"/>
      <c r="G18" s="19"/>
      <c r="H18" s="17"/>
      <c r="I18" s="20"/>
      <c r="J18" s="18"/>
      <c r="K18" s="17"/>
      <c r="L18" s="18"/>
      <c r="M18" s="17" t="str">
        <f t="shared" ca="1" si="0"/>
        <v/>
      </c>
    </row>
    <row r="19" spans="1:13" ht="14.25" hidden="1" customHeight="1" outlineLevel="1">
      <c r="A19" s="16"/>
      <c r="B19" s="17"/>
      <c r="C19" s="17"/>
      <c r="D19" s="18"/>
      <c r="E19" s="18"/>
      <c r="F19" s="19"/>
      <c r="G19" s="19"/>
      <c r="H19" s="17"/>
      <c r="I19" s="20"/>
      <c r="J19" s="18"/>
      <c r="K19" s="17"/>
      <c r="L19" s="18"/>
      <c r="M19" s="17" t="str">
        <f t="shared" ca="1" si="0"/>
        <v/>
      </c>
    </row>
    <row r="20" spans="1:13" ht="14.25" hidden="1" customHeight="1" outlineLevel="1">
      <c r="A20" s="16"/>
      <c r="B20" s="17"/>
      <c r="C20" s="17"/>
      <c r="D20" s="18"/>
      <c r="E20" s="18"/>
      <c r="F20" s="19"/>
      <c r="G20" s="19"/>
      <c r="H20" s="17"/>
      <c r="I20" s="20"/>
      <c r="J20" s="18"/>
      <c r="K20" s="17"/>
      <c r="L20" s="18"/>
      <c r="M20" s="17" t="str">
        <f t="shared" ca="1" si="0"/>
        <v/>
      </c>
    </row>
    <row r="21" spans="1:13" ht="14.25" hidden="1" customHeight="1" outlineLevel="1">
      <c r="A21" s="16"/>
      <c r="B21" s="17"/>
      <c r="C21" s="17"/>
      <c r="D21" s="18"/>
      <c r="E21" s="18"/>
      <c r="F21" s="19"/>
      <c r="G21" s="19"/>
      <c r="H21" s="17"/>
      <c r="I21" s="20"/>
      <c r="J21" s="18"/>
      <c r="K21" s="17"/>
      <c r="L21" s="18"/>
      <c r="M21" s="17" t="str">
        <f t="shared" ca="1" si="0"/>
        <v/>
      </c>
    </row>
    <row r="22" spans="1:13" ht="14.25" hidden="1" customHeight="1" outlineLevel="1">
      <c r="A22" s="16"/>
      <c r="B22" s="17"/>
      <c r="C22" s="17"/>
      <c r="D22" s="18"/>
      <c r="E22" s="18"/>
      <c r="F22" s="19"/>
      <c r="G22" s="19"/>
      <c r="H22" s="17"/>
      <c r="I22" s="20"/>
      <c r="J22" s="18"/>
      <c r="K22" s="17"/>
      <c r="L22" s="18"/>
      <c r="M22" s="17" t="str">
        <f t="shared" ca="1" si="0"/>
        <v/>
      </c>
    </row>
    <row r="23" spans="1:13" ht="14.25" hidden="1" customHeight="1" outlineLevel="1">
      <c r="A23" s="16"/>
      <c r="B23" s="17"/>
      <c r="C23" s="17"/>
      <c r="D23" s="18"/>
      <c r="E23" s="18"/>
      <c r="F23" s="19"/>
      <c r="G23" s="19"/>
      <c r="H23" s="17"/>
      <c r="I23" s="20"/>
      <c r="J23" s="18"/>
      <c r="K23" s="17"/>
      <c r="L23" s="18"/>
      <c r="M23" s="17" t="str">
        <f t="shared" ca="1" si="0"/>
        <v/>
      </c>
    </row>
    <row r="24" spans="1:13" ht="14.25" hidden="1" customHeight="1" outlineLevel="1">
      <c r="A24" s="16"/>
      <c r="B24" s="17"/>
      <c r="C24" s="17"/>
      <c r="D24" s="18"/>
      <c r="E24" s="18"/>
      <c r="F24" s="19"/>
      <c r="G24" s="19"/>
      <c r="H24" s="17"/>
      <c r="I24" s="20"/>
      <c r="J24" s="18"/>
      <c r="K24" s="17"/>
      <c r="L24" s="18"/>
      <c r="M24" s="17" t="str">
        <f t="shared" ca="1" si="0"/>
        <v/>
      </c>
    </row>
    <row r="25" spans="1:13" ht="14.25" hidden="1" customHeight="1" outlineLevel="1">
      <c r="A25" s="16"/>
      <c r="B25" s="17"/>
      <c r="C25" s="17"/>
      <c r="D25" s="18"/>
      <c r="E25" s="18"/>
      <c r="F25" s="19"/>
      <c r="G25" s="19"/>
      <c r="H25" s="17"/>
      <c r="I25" s="20"/>
      <c r="J25" s="18"/>
      <c r="K25" s="17"/>
      <c r="L25" s="18"/>
      <c r="M25" s="17" t="str">
        <f t="shared" ca="1" si="0"/>
        <v/>
      </c>
    </row>
    <row r="26" spans="1:13" ht="14.25" hidden="1" customHeight="1" outlineLevel="1">
      <c r="A26" s="16"/>
      <c r="B26" s="17"/>
      <c r="C26" s="17"/>
      <c r="D26" s="18"/>
      <c r="E26" s="18"/>
      <c r="F26" s="19"/>
      <c r="G26" s="19"/>
      <c r="H26" s="17"/>
      <c r="I26" s="20"/>
      <c r="J26" s="18"/>
      <c r="K26" s="17"/>
      <c r="L26" s="18"/>
      <c r="M26" s="17" t="str">
        <f t="shared" ca="1" si="0"/>
        <v/>
      </c>
    </row>
    <row r="27" spans="1:13" ht="14.25" hidden="1" customHeight="1" outlineLevel="1">
      <c r="A27" s="16"/>
      <c r="B27" s="17"/>
      <c r="C27" s="17"/>
      <c r="D27" s="18"/>
      <c r="E27" s="18"/>
      <c r="F27" s="19"/>
      <c r="G27" s="19"/>
      <c r="H27" s="17"/>
      <c r="I27" s="20"/>
      <c r="J27" s="18"/>
      <c r="K27" s="17"/>
      <c r="L27" s="18"/>
      <c r="M27" s="17" t="str">
        <f t="shared" ca="1" si="0"/>
        <v/>
      </c>
    </row>
    <row r="28" spans="1:13" ht="14.25" hidden="1" customHeight="1" outlineLevel="1">
      <c r="A28" s="16"/>
      <c r="B28" s="17"/>
      <c r="C28" s="17"/>
      <c r="D28" s="18"/>
      <c r="E28" s="18"/>
      <c r="F28" s="19"/>
      <c r="G28" s="19"/>
      <c r="H28" s="17"/>
      <c r="I28" s="20"/>
      <c r="J28" s="18"/>
      <c r="K28" s="17"/>
      <c r="L28" s="18"/>
      <c r="M28" s="17" t="str">
        <f t="shared" ca="1" si="0"/>
        <v/>
      </c>
    </row>
    <row r="29" spans="1:13" ht="14.25" hidden="1" customHeight="1" outlineLevel="1">
      <c r="A29" s="16"/>
      <c r="B29" s="17"/>
      <c r="C29" s="17"/>
      <c r="D29" s="18"/>
      <c r="E29" s="18"/>
      <c r="F29" s="19"/>
      <c r="G29" s="19"/>
      <c r="H29" s="17"/>
      <c r="I29" s="20"/>
      <c r="J29" s="18"/>
      <c r="K29" s="17"/>
      <c r="L29" s="18"/>
      <c r="M29" s="17" t="str">
        <f t="shared" ca="1" si="0"/>
        <v/>
      </c>
    </row>
    <row r="30" spans="1:13" ht="14.25" hidden="1" customHeight="1" outlineLevel="1">
      <c r="A30" s="16"/>
      <c r="B30" s="17"/>
      <c r="C30" s="17"/>
      <c r="D30" s="18"/>
      <c r="E30" s="18"/>
      <c r="F30" s="19"/>
      <c r="G30" s="19"/>
      <c r="H30" s="17"/>
      <c r="I30" s="20"/>
      <c r="J30" s="18"/>
      <c r="K30" s="17"/>
      <c r="L30" s="18"/>
      <c r="M30" s="17" t="str">
        <f t="shared" ca="1" si="0"/>
        <v/>
      </c>
    </row>
    <row r="31" spans="1:13" ht="14.25" hidden="1" customHeight="1" outlineLevel="1">
      <c r="A31" s="16"/>
      <c r="B31" s="17"/>
      <c r="C31" s="17"/>
      <c r="D31" s="18"/>
      <c r="E31" s="18"/>
      <c r="F31" s="19"/>
      <c r="G31" s="19"/>
      <c r="H31" s="17"/>
      <c r="I31" s="20"/>
      <c r="J31" s="18"/>
      <c r="K31" s="17"/>
      <c r="L31" s="18"/>
      <c r="M31" s="17" t="str">
        <f t="shared" ca="1" si="0"/>
        <v/>
      </c>
    </row>
    <row r="32" spans="1:13" ht="14.25" hidden="1" customHeight="1" outlineLevel="1">
      <c r="A32" s="16"/>
      <c r="B32" s="17"/>
      <c r="C32" s="17"/>
      <c r="D32" s="18"/>
      <c r="E32" s="18"/>
      <c r="F32" s="19"/>
      <c r="G32" s="19"/>
      <c r="H32" s="17"/>
      <c r="I32" s="20"/>
      <c r="J32" s="18"/>
      <c r="K32" s="17"/>
      <c r="L32" s="18"/>
      <c r="M32" s="17" t="str">
        <f t="shared" ca="1" si="0"/>
        <v/>
      </c>
    </row>
    <row r="33" spans="1:13" ht="14.25" hidden="1" customHeight="1" outlineLevel="1">
      <c r="A33" s="16"/>
      <c r="B33" s="17"/>
      <c r="C33" s="17"/>
      <c r="D33" s="18"/>
      <c r="E33" s="18"/>
      <c r="F33" s="19"/>
      <c r="G33" s="19"/>
      <c r="H33" s="17"/>
      <c r="I33" s="20"/>
      <c r="J33" s="18"/>
      <c r="K33" s="17"/>
      <c r="L33" s="18"/>
      <c r="M33" s="17" t="str">
        <f t="shared" ca="1" si="0"/>
        <v/>
      </c>
    </row>
    <row r="34" spans="1:13" ht="14.25" hidden="1" customHeight="1" outlineLevel="1">
      <c r="A34" s="16"/>
      <c r="B34" s="17"/>
      <c r="C34" s="17"/>
      <c r="D34" s="18"/>
      <c r="E34" s="18"/>
      <c r="F34" s="19"/>
      <c r="G34" s="19"/>
      <c r="H34" s="17"/>
      <c r="I34" s="20"/>
      <c r="J34" s="18"/>
      <c r="K34" s="17"/>
      <c r="L34" s="18"/>
      <c r="M34" s="17" t="str">
        <f t="shared" ca="1" si="0"/>
        <v/>
      </c>
    </row>
    <row r="35" spans="1:13" ht="14.25" hidden="1" customHeight="1" outlineLevel="1">
      <c r="A35" s="16"/>
      <c r="B35" s="17"/>
      <c r="C35" s="17"/>
      <c r="D35" s="18"/>
      <c r="E35" s="18"/>
      <c r="F35" s="19"/>
      <c r="G35" s="19"/>
      <c r="H35" s="17"/>
      <c r="I35" s="20"/>
      <c r="J35" s="18"/>
      <c r="K35" s="17"/>
      <c r="L35" s="18"/>
      <c r="M35" s="17" t="str">
        <f t="shared" ca="1" si="0"/>
        <v/>
      </c>
    </row>
    <row r="36" spans="1:13" ht="14.25" hidden="1" customHeight="1" outlineLevel="1">
      <c r="A36" s="16"/>
      <c r="B36" s="17"/>
      <c r="C36" s="17"/>
      <c r="D36" s="18"/>
      <c r="E36" s="18"/>
      <c r="F36" s="19"/>
      <c r="G36" s="19"/>
      <c r="H36" s="17"/>
      <c r="I36" s="20"/>
      <c r="J36" s="18"/>
      <c r="K36" s="17"/>
      <c r="L36" s="18"/>
      <c r="M36" s="17" t="str">
        <f t="shared" ca="1" si="0"/>
        <v/>
      </c>
    </row>
    <row r="37" spans="1:13" ht="14.25" hidden="1" customHeight="1" outlineLevel="1">
      <c r="A37" s="16"/>
      <c r="B37" s="17"/>
      <c r="C37" s="17"/>
      <c r="D37" s="18"/>
      <c r="E37" s="18"/>
      <c r="F37" s="19"/>
      <c r="G37" s="19"/>
      <c r="H37" s="17"/>
      <c r="I37" s="20"/>
      <c r="J37" s="18"/>
      <c r="K37" s="17"/>
      <c r="L37" s="18"/>
      <c r="M37" s="17" t="str">
        <f t="shared" ca="1" si="0"/>
        <v/>
      </c>
    </row>
    <row r="38" spans="1:13" ht="14.25" hidden="1" customHeight="1" outlineLevel="1">
      <c r="A38" s="16"/>
      <c r="B38" s="17"/>
      <c r="C38" s="17"/>
      <c r="D38" s="18"/>
      <c r="E38" s="18"/>
      <c r="F38" s="19"/>
      <c r="G38" s="19"/>
      <c r="H38" s="17"/>
      <c r="I38" s="20"/>
      <c r="J38" s="18"/>
      <c r="K38" s="17"/>
      <c r="L38" s="18"/>
      <c r="M38" s="17" t="str">
        <f t="shared" ca="1" si="0"/>
        <v/>
      </c>
    </row>
    <row r="39" spans="1:13" ht="14.25" hidden="1" customHeight="1" outlineLevel="1">
      <c r="A39" s="16"/>
      <c r="B39" s="17"/>
      <c r="C39" s="17"/>
      <c r="D39" s="18"/>
      <c r="E39" s="18"/>
      <c r="F39" s="19"/>
      <c r="G39" s="19"/>
      <c r="H39" s="17"/>
      <c r="I39" s="20"/>
      <c r="J39" s="18"/>
      <c r="K39" s="17"/>
      <c r="L39" s="18"/>
      <c r="M39" s="17" t="str">
        <f t="shared" ca="1" si="0"/>
        <v/>
      </c>
    </row>
    <row r="40" spans="1:13" ht="14.25" hidden="1" customHeight="1" outlineLevel="1">
      <c r="A40" s="16"/>
      <c r="B40" s="17"/>
      <c r="C40" s="17"/>
      <c r="D40" s="18"/>
      <c r="E40" s="18"/>
      <c r="F40" s="19"/>
      <c r="G40" s="19"/>
      <c r="H40" s="17"/>
      <c r="I40" s="20"/>
      <c r="J40" s="18"/>
      <c r="K40" s="17"/>
      <c r="L40" s="18"/>
      <c r="M40" s="17" t="str">
        <f t="shared" ca="1" si="0"/>
        <v/>
      </c>
    </row>
    <row r="41" spans="1:13" ht="14.25" hidden="1" customHeight="1" outlineLevel="1">
      <c r="A41" s="16"/>
      <c r="B41" s="17"/>
      <c r="C41" s="17"/>
      <c r="D41" s="18"/>
      <c r="E41" s="18"/>
      <c r="F41" s="19"/>
      <c r="G41" s="19"/>
      <c r="H41" s="17"/>
      <c r="I41" s="20"/>
      <c r="J41" s="18"/>
      <c r="K41" s="17"/>
      <c r="L41" s="18"/>
      <c r="M41" s="17" t="str">
        <f t="shared" ca="1" si="0"/>
        <v/>
      </c>
    </row>
    <row r="42" spans="1:13" ht="14.25" hidden="1" customHeight="1" outlineLevel="1">
      <c r="A42" s="16"/>
      <c r="B42" s="17"/>
      <c r="C42" s="17"/>
      <c r="D42" s="18"/>
      <c r="E42" s="18"/>
      <c r="F42" s="19"/>
      <c r="G42" s="19"/>
      <c r="H42" s="17"/>
      <c r="I42" s="20"/>
      <c r="J42" s="18"/>
      <c r="K42" s="17"/>
      <c r="L42" s="18"/>
      <c r="M42" s="17" t="str">
        <f t="shared" ca="1" si="0"/>
        <v/>
      </c>
    </row>
    <row r="43" spans="1:13" ht="14.25" hidden="1" customHeight="1" outlineLevel="1">
      <c r="A43" s="16"/>
      <c r="B43" s="17"/>
      <c r="C43" s="17"/>
      <c r="D43" s="18"/>
      <c r="E43" s="18"/>
      <c r="F43" s="19"/>
      <c r="G43" s="19"/>
      <c r="H43" s="17"/>
      <c r="I43" s="20"/>
      <c r="J43" s="18"/>
      <c r="K43" s="17"/>
      <c r="L43" s="18"/>
      <c r="M43" s="17" t="str">
        <f t="shared" ca="1" si="0"/>
        <v/>
      </c>
    </row>
    <row r="44" spans="1:13" ht="14.25" hidden="1" customHeight="1" outlineLevel="1">
      <c r="A44" s="16"/>
      <c r="B44" s="17"/>
      <c r="C44" s="17"/>
      <c r="D44" s="18"/>
      <c r="E44" s="18"/>
      <c r="F44" s="19"/>
      <c r="G44" s="19"/>
      <c r="H44" s="17"/>
      <c r="I44" s="20"/>
      <c r="J44" s="18"/>
      <c r="K44" s="17"/>
      <c r="L44" s="18"/>
      <c r="M44" s="17" t="str">
        <f t="shared" ca="1" si="0"/>
        <v/>
      </c>
    </row>
    <row r="45" spans="1:13" ht="14.25" hidden="1" customHeight="1" outlineLevel="1">
      <c r="A45" s="16"/>
      <c r="B45" s="17"/>
      <c r="C45" s="17"/>
      <c r="D45" s="18"/>
      <c r="E45" s="18"/>
      <c r="F45" s="19"/>
      <c r="G45" s="19"/>
      <c r="H45" s="17"/>
      <c r="I45" s="20"/>
      <c r="J45" s="18"/>
      <c r="K45" s="17"/>
      <c r="L45" s="18"/>
      <c r="M45" s="17" t="str">
        <f t="shared" ca="1" si="0"/>
        <v/>
      </c>
    </row>
    <row r="46" spans="1:13" ht="14.25" hidden="1" customHeight="1" outlineLevel="1">
      <c r="A46" s="16"/>
      <c r="B46" s="17"/>
      <c r="C46" s="17"/>
      <c r="D46" s="18"/>
      <c r="E46" s="18"/>
      <c r="F46" s="19"/>
      <c r="G46" s="19"/>
      <c r="H46" s="17"/>
      <c r="I46" s="20"/>
      <c r="J46" s="18"/>
      <c r="K46" s="17"/>
      <c r="L46" s="18"/>
      <c r="M46" s="17" t="str">
        <f t="shared" ca="1" si="0"/>
        <v/>
      </c>
    </row>
    <row r="47" spans="1:13" ht="14.25" hidden="1" customHeight="1" outlineLevel="1">
      <c r="A47" s="16"/>
      <c r="B47" s="17"/>
      <c r="C47" s="17"/>
      <c r="D47" s="18"/>
      <c r="E47" s="18"/>
      <c r="F47" s="19"/>
      <c r="G47" s="19"/>
      <c r="H47" s="17"/>
      <c r="I47" s="20"/>
      <c r="J47" s="18"/>
      <c r="K47" s="17"/>
      <c r="L47" s="18"/>
      <c r="M47" s="17" t="str">
        <f t="shared" ca="1" si="0"/>
        <v/>
      </c>
    </row>
    <row r="48" spans="1:13" ht="14.25" hidden="1" customHeight="1" outlineLevel="1">
      <c r="A48" s="16"/>
      <c r="B48" s="17"/>
      <c r="C48" s="17"/>
      <c r="D48" s="18"/>
      <c r="E48" s="18"/>
      <c r="F48" s="19"/>
      <c r="G48" s="19"/>
      <c r="H48" s="17"/>
      <c r="I48" s="20"/>
      <c r="J48" s="18"/>
      <c r="K48" s="17"/>
      <c r="L48" s="18"/>
      <c r="M48" s="17" t="str">
        <f t="shared" ca="1" si="0"/>
        <v/>
      </c>
    </row>
    <row r="49" spans="1:13" ht="14.25" hidden="1" customHeight="1" outlineLevel="1">
      <c r="A49" s="16"/>
      <c r="B49" s="17"/>
      <c r="C49" s="17"/>
      <c r="D49" s="18"/>
      <c r="E49" s="18"/>
      <c r="F49" s="19"/>
      <c r="G49" s="19"/>
      <c r="H49" s="17"/>
      <c r="I49" s="20"/>
      <c r="J49" s="18"/>
      <c r="K49" s="17"/>
      <c r="L49" s="18"/>
      <c r="M49" s="17" t="str">
        <f t="shared" ca="1" si="0"/>
        <v/>
      </c>
    </row>
    <row r="50" spans="1:13" ht="14.25" hidden="1" customHeight="1" outlineLevel="1">
      <c r="A50" s="16"/>
      <c r="B50" s="17"/>
      <c r="C50" s="17"/>
      <c r="D50" s="18"/>
      <c r="E50" s="18"/>
      <c r="F50" s="19"/>
      <c r="G50" s="19"/>
      <c r="H50" s="17"/>
      <c r="I50" s="20"/>
      <c r="J50" s="18"/>
      <c r="K50" s="17"/>
      <c r="L50" s="18"/>
      <c r="M50" s="17" t="str">
        <f t="shared" ca="1" si="0"/>
        <v/>
      </c>
    </row>
    <row r="51" spans="1:13" ht="14.25" hidden="1" customHeight="1" outlineLevel="1">
      <c r="A51" s="16"/>
      <c r="B51" s="17"/>
      <c r="C51" s="17"/>
      <c r="D51" s="18"/>
      <c r="E51" s="18"/>
      <c r="F51" s="19"/>
      <c r="G51" s="19"/>
      <c r="H51" s="17"/>
      <c r="I51" s="20"/>
      <c r="J51" s="18"/>
      <c r="K51" s="17"/>
      <c r="L51" s="18"/>
      <c r="M51" s="17" t="str">
        <f t="shared" ca="1" si="0"/>
        <v/>
      </c>
    </row>
    <row r="52" spans="1:13" ht="14.25" hidden="1" customHeight="1" outlineLevel="1">
      <c r="A52" s="16"/>
      <c r="B52" s="17"/>
      <c r="C52" s="17"/>
      <c r="D52" s="18"/>
      <c r="E52" s="18"/>
      <c r="F52" s="19"/>
      <c r="G52" s="19"/>
      <c r="H52" s="17"/>
      <c r="I52" s="20"/>
      <c r="J52" s="18"/>
      <c r="K52" s="17"/>
      <c r="L52" s="18"/>
      <c r="M52" s="17" t="str">
        <f t="shared" ca="1" si="0"/>
        <v/>
      </c>
    </row>
    <row r="53" spans="1:13" ht="14.25" hidden="1" customHeight="1" outlineLevel="1">
      <c r="A53" s="16"/>
      <c r="B53" s="17"/>
      <c r="C53" s="17"/>
      <c r="D53" s="18"/>
      <c r="E53" s="18"/>
      <c r="F53" s="19"/>
      <c r="G53" s="19"/>
      <c r="H53" s="17"/>
      <c r="I53" s="20"/>
      <c r="J53" s="18"/>
      <c r="K53" s="17"/>
      <c r="L53" s="18"/>
      <c r="M53" s="17" t="str">
        <f t="shared" ca="1" si="0"/>
        <v/>
      </c>
    </row>
    <row r="54" spans="1:13" ht="14.25" hidden="1" customHeight="1" outlineLevel="1">
      <c r="A54" s="16"/>
      <c r="B54" s="17"/>
      <c r="C54" s="17"/>
      <c r="D54" s="18"/>
      <c r="E54" s="18"/>
      <c r="F54" s="19"/>
      <c r="G54" s="19"/>
      <c r="H54" s="17"/>
      <c r="I54" s="20"/>
      <c r="J54" s="18"/>
      <c r="K54" s="17"/>
      <c r="L54" s="18"/>
      <c r="M54" s="17" t="str">
        <f t="shared" ca="1" si="0"/>
        <v/>
      </c>
    </row>
    <row r="55" spans="1:13" ht="14.25" hidden="1" customHeight="1" outlineLevel="1">
      <c r="A55" s="16"/>
      <c r="B55" s="17"/>
      <c r="C55" s="17"/>
      <c r="D55" s="18"/>
      <c r="E55" s="18"/>
      <c r="F55" s="19"/>
      <c r="G55" s="19"/>
      <c r="H55" s="17"/>
      <c r="I55" s="20"/>
      <c r="J55" s="18"/>
      <c r="K55" s="17"/>
      <c r="L55" s="18"/>
      <c r="M55" s="17" t="str">
        <f t="shared" ca="1" si="0"/>
        <v/>
      </c>
    </row>
    <row r="56" spans="1:13" ht="14.25" hidden="1" customHeight="1" outlineLevel="1">
      <c r="A56" s="16"/>
      <c r="B56" s="17"/>
      <c r="C56" s="17"/>
      <c r="D56" s="18"/>
      <c r="E56" s="18"/>
      <c r="F56" s="19"/>
      <c r="G56" s="19"/>
      <c r="H56" s="17"/>
      <c r="I56" s="20"/>
      <c r="J56" s="18"/>
      <c r="K56" s="17"/>
      <c r="L56" s="18"/>
      <c r="M56" s="17" t="str">
        <f t="shared" ca="1" si="0"/>
        <v/>
      </c>
    </row>
    <row r="57" spans="1:13" ht="14.25" hidden="1" customHeight="1" outlineLevel="1">
      <c r="A57" s="16"/>
      <c r="B57" s="17"/>
      <c r="C57" s="17"/>
      <c r="D57" s="18"/>
      <c r="E57" s="18"/>
      <c r="F57" s="19"/>
      <c r="G57" s="19"/>
      <c r="H57" s="17"/>
      <c r="I57" s="20"/>
      <c r="J57" s="18"/>
      <c r="K57" s="17"/>
      <c r="L57" s="18"/>
      <c r="M57" s="17" t="str">
        <f t="shared" ca="1" si="0"/>
        <v/>
      </c>
    </row>
    <row r="58" spans="1:13" ht="14.25" hidden="1" customHeight="1" outlineLevel="1">
      <c r="A58" s="16"/>
      <c r="B58" s="17"/>
      <c r="C58" s="17"/>
      <c r="D58" s="18"/>
      <c r="E58" s="18"/>
      <c r="F58" s="19"/>
      <c r="G58" s="19"/>
      <c r="H58" s="17"/>
      <c r="I58" s="20"/>
      <c r="J58" s="18"/>
      <c r="K58" s="17"/>
      <c r="L58" s="18"/>
      <c r="M58" s="17" t="str">
        <f t="shared" ca="1" si="0"/>
        <v/>
      </c>
    </row>
    <row r="59" spans="1:13" ht="14.25" hidden="1" customHeight="1" outlineLevel="1">
      <c r="A59" s="16"/>
      <c r="B59" s="17"/>
      <c r="C59" s="17"/>
      <c r="D59" s="18"/>
      <c r="E59" s="18"/>
      <c r="F59" s="19"/>
      <c r="G59" s="19"/>
      <c r="H59" s="17"/>
      <c r="I59" s="20"/>
      <c r="J59" s="18"/>
      <c r="K59" s="17"/>
      <c r="L59" s="18"/>
      <c r="M59" s="17" t="str">
        <f t="shared" ca="1" si="0"/>
        <v/>
      </c>
    </row>
    <row r="60" spans="1:13" ht="14.25" hidden="1" customHeight="1" outlineLevel="1">
      <c r="A60" s="16"/>
      <c r="B60" s="17"/>
      <c r="C60" s="17"/>
      <c r="D60" s="18"/>
      <c r="E60" s="18"/>
      <c r="F60" s="19"/>
      <c r="G60" s="19"/>
      <c r="H60" s="17"/>
      <c r="I60" s="20"/>
      <c r="J60" s="18"/>
      <c r="K60" s="17"/>
      <c r="L60" s="18"/>
      <c r="M60" s="17" t="str">
        <f t="shared" ca="1" si="0"/>
        <v/>
      </c>
    </row>
    <row r="61" spans="1:13" ht="14.25" hidden="1" customHeight="1" outlineLevel="1">
      <c r="A61" s="16"/>
      <c r="B61" s="17"/>
      <c r="C61" s="17"/>
      <c r="D61" s="18"/>
      <c r="E61" s="18"/>
      <c r="F61" s="19"/>
      <c r="G61" s="19"/>
      <c r="H61" s="17"/>
      <c r="I61" s="20"/>
      <c r="J61" s="18"/>
      <c r="K61" s="17"/>
      <c r="L61" s="18"/>
      <c r="M61" s="17" t="str">
        <f t="shared" ca="1" si="0"/>
        <v/>
      </c>
    </row>
    <row r="62" spans="1:13" ht="14.25" hidden="1" customHeight="1" outlineLevel="1">
      <c r="A62" s="16"/>
      <c r="B62" s="17"/>
      <c r="C62" s="17"/>
      <c r="D62" s="18"/>
      <c r="E62" s="18"/>
      <c r="F62" s="19"/>
      <c r="G62" s="19"/>
      <c r="H62" s="17"/>
      <c r="I62" s="20"/>
      <c r="J62" s="18"/>
      <c r="K62" s="17"/>
      <c r="L62" s="18"/>
      <c r="M62" s="17" t="str">
        <f t="shared" ca="1" si="0"/>
        <v/>
      </c>
    </row>
    <row r="63" spans="1:13" ht="14.25" hidden="1" customHeight="1" outlineLevel="1">
      <c r="A63" s="16"/>
      <c r="B63" s="17"/>
      <c r="C63" s="17"/>
      <c r="D63" s="18"/>
      <c r="E63" s="18"/>
      <c r="F63" s="19"/>
      <c r="G63" s="19"/>
      <c r="H63" s="17"/>
      <c r="I63" s="20"/>
      <c r="J63" s="18"/>
      <c r="K63" s="17"/>
      <c r="L63" s="18"/>
      <c r="M63" s="17" t="str">
        <f t="shared" ca="1" si="0"/>
        <v/>
      </c>
    </row>
    <row r="64" spans="1:13" ht="14.25" hidden="1" customHeight="1" outlineLevel="1">
      <c r="A64" s="16"/>
      <c r="B64" s="17"/>
      <c r="C64" s="17"/>
      <c r="D64" s="18"/>
      <c r="E64" s="18"/>
      <c r="F64" s="19"/>
      <c r="G64" s="19"/>
      <c r="H64" s="17"/>
      <c r="I64" s="20"/>
      <c r="J64" s="18"/>
      <c r="K64" s="17"/>
      <c r="L64" s="18"/>
      <c r="M64" s="17" t="str">
        <f t="shared" ca="1" si="0"/>
        <v/>
      </c>
    </row>
    <row r="65" spans="1:13" ht="14.25" hidden="1" customHeight="1" outlineLevel="1">
      <c r="A65" s="16"/>
      <c r="B65" s="17"/>
      <c r="C65" s="17"/>
      <c r="D65" s="18"/>
      <c r="E65" s="18"/>
      <c r="F65" s="19"/>
      <c r="G65" s="19"/>
      <c r="H65" s="17"/>
      <c r="I65" s="20"/>
      <c r="J65" s="18"/>
      <c r="K65" s="17"/>
      <c r="L65" s="18"/>
      <c r="M65" s="17" t="str">
        <f t="shared" ca="1" si="0"/>
        <v/>
      </c>
    </row>
    <row r="66" spans="1:13" ht="14.25" hidden="1" customHeight="1" outlineLevel="1">
      <c r="A66" s="16"/>
      <c r="B66" s="17"/>
      <c r="C66" s="17"/>
      <c r="D66" s="18"/>
      <c r="E66" s="18"/>
      <c r="F66" s="19"/>
      <c r="G66" s="19"/>
      <c r="H66" s="17"/>
      <c r="I66" s="20"/>
      <c r="J66" s="18"/>
      <c r="K66" s="17"/>
      <c r="L66" s="18"/>
      <c r="M66" s="17" t="str">
        <f t="shared" ca="1" si="0"/>
        <v/>
      </c>
    </row>
    <row r="67" spans="1:13" ht="14.25" hidden="1" customHeight="1" outlineLevel="1">
      <c r="A67" s="16"/>
      <c r="B67" s="17"/>
      <c r="C67" s="17"/>
      <c r="D67" s="18"/>
      <c r="E67" s="18"/>
      <c r="F67" s="19"/>
      <c r="G67" s="19"/>
      <c r="H67" s="17"/>
      <c r="I67" s="20"/>
      <c r="J67" s="18"/>
      <c r="K67" s="17"/>
      <c r="L67" s="18"/>
      <c r="M67" s="17" t="str">
        <f t="shared" ref="M67:M130" ca="1" si="1">IF(D67="","",IF(H67="Completed","Completed",IF(H67="Blocked","Blocked",IF(H67="Delayed","Delayed",IF(AND(G67&lt;&gt;"",G67&lt;TODAY(),H67&lt;&gt;"Completed"),"Overdue","On Track")))))</f>
        <v/>
      </c>
    </row>
    <row r="68" spans="1:13" ht="14.25" hidden="1" customHeight="1" outlineLevel="1">
      <c r="A68" s="16"/>
      <c r="B68" s="17"/>
      <c r="C68" s="17"/>
      <c r="D68" s="18"/>
      <c r="E68" s="18"/>
      <c r="F68" s="19"/>
      <c r="G68" s="19"/>
      <c r="H68" s="17"/>
      <c r="I68" s="20"/>
      <c r="J68" s="18"/>
      <c r="K68" s="17"/>
      <c r="L68" s="18"/>
      <c r="M68" s="17" t="str">
        <f t="shared" ca="1" si="1"/>
        <v/>
      </c>
    </row>
    <row r="69" spans="1:13" ht="14.25" hidden="1" customHeight="1" outlineLevel="1">
      <c r="A69" s="16"/>
      <c r="B69" s="17"/>
      <c r="C69" s="17"/>
      <c r="D69" s="18"/>
      <c r="E69" s="18"/>
      <c r="F69" s="19"/>
      <c r="G69" s="19"/>
      <c r="H69" s="17"/>
      <c r="I69" s="20"/>
      <c r="J69" s="18"/>
      <c r="K69" s="17"/>
      <c r="L69" s="18"/>
      <c r="M69" s="17" t="str">
        <f t="shared" ca="1" si="1"/>
        <v/>
      </c>
    </row>
    <row r="70" spans="1:13" ht="14.25" hidden="1" customHeight="1" outlineLevel="1">
      <c r="A70" s="16"/>
      <c r="B70" s="17"/>
      <c r="C70" s="17"/>
      <c r="D70" s="18"/>
      <c r="E70" s="18"/>
      <c r="F70" s="19"/>
      <c r="G70" s="19"/>
      <c r="H70" s="17"/>
      <c r="I70" s="20"/>
      <c r="J70" s="18"/>
      <c r="K70" s="17"/>
      <c r="L70" s="18"/>
      <c r="M70" s="17" t="str">
        <f t="shared" ca="1" si="1"/>
        <v/>
      </c>
    </row>
    <row r="71" spans="1:13" ht="14.25" hidden="1" customHeight="1" outlineLevel="1">
      <c r="A71" s="16"/>
      <c r="B71" s="17"/>
      <c r="C71" s="17"/>
      <c r="D71" s="18"/>
      <c r="E71" s="18"/>
      <c r="F71" s="19"/>
      <c r="G71" s="19"/>
      <c r="H71" s="17"/>
      <c r="I71" s="20"/>
      <c r="J71" s="18"/>
      <c r="K71" s="17"/>
      <c r="L71" s="18"/>
      <c r="M71" s="17" t="str">
        <f t="shared" ca="1" si="1"/>
        <v/>
      </c>
    </row>
    <row r="72" spans="1:13" ht="14.25" hidden="1" customHeight="1" outlineLevel="1">
      <c r="A72" s="16"/>
      <c r="B72" s="17"/>
      <c r="C72" s="17"/>
      <c r="D72" s="18"/>
      <c r="E72" s="18"/>
      <c r="F72" s="19"/>
      <c r="G72" s="19"/>
      <c r="H72" s="17"/>
      <c r="I72" s="20"/>
      <c r="J72" s="18"/>
      <c r="K72" s="17"/>
      <c r="L72" s="18"/>
      <c r="M72" s="17" t="str">
        <f t="shared" ca="1" si="1"/>
        <v/>
      </c>
    </row>
    <row r="73" spans="1:13" ht="14.25" hidden="1" customHeight="1" outlineLevel="1">
      <c r="A73" s="16"/>
      <c r="B73" s="17"/>
      <c r="C73" s="17"/>
      <c r="D73" s="18"/>
      <c r="E73" s="18"/>
      <c r="F73" s="19"/>
      <c r="G73" s="19"/>
      <c r="H73" s="17"/>
      <c r="I73" s="20"/>
      <c r="J73" s="18"/>
      <c r="K73" s="17"/>
      <c r="L73" s="18"/>
      <c r="M73" s="17" t="str">
        <f t="shared" ca="1" si="1"/>
        <v/>
      </c>
    </row>
    <row r="74" spans="1:13" ht="14.25" hidden="1" customHeight="1" outlineLevel="1">
      <c r="A74" s="16"/>
      <c r="B74" s="17"/>
      <c r="C74" s="17"/>
      <c r="D74" s="18"/>
      <c r="E74" s="18"/>
      <c r="F74" s="19"/>
      <c r="G74" s="19"/>
      <c r="H74" s="17"/>
      <c r="I74" s="20"/>
      <c r="J74" s="18"/>
      <c r="K74" s="17"/>
      <c r="L74" s="18"/>
      <c r="M74" s="17" t="str">
        <f t="shared" ca="1" si="1"/>
        <v/>
      </c>
    </row>
    <row r="75" spans="1:13" ht="14.25" hidden="1" customHeight="1" outlineLevel="1">
      <c r="A75" s="16"/>
      <c r="B75" s="17"/>
      <c r="C75" s="17"/>
      <c r="D75" s="18"/>
      <c r="E75" s="18"/>
      <c r="F75" s="19"/>
      <c r="G75" s="19"/>
      <c r="H75" s="17"/>
      <c r="I75" s="20"/>
      <c r="J75" s="18"/>
      <c r="K75" s="17"/>
      <c r="L75" s="18"/>
      <c r="M75" s="17" t="str">
        <f t="shared" ca="1" si="1"/>
        <v/>
      </c>
    </row>
    <row r="76" spans="1:13" ht="14.25" hidden="1" customHeight="1" outlineLevel="1">
      <c r="A76" s="16"/>
      <c r="B76" s="17"/>
      <c r="C76" s="17"/>
      <c r="D76" s="18"/>
      <c r="E76" s="18"/>
      <c r="F76" s="19"/>
      <c r="G76" s="19"/>
      <c r="H76" s="17"/>
      <c r="I76" s="20"/>
      <c r="J76" s="18"/>
      <c r="K76" s="17"/>
      <c r="L76" s="18"/>
      <c r="M76" s="17" t="str">
        <f t="shared" ca="1" si="1"/>
        <v/>
      </c>
    </row>
    <row r="77" spans="1:13" ht="14.25" hidden="1" customHeight="1" outlineLevel="1">
      <c r="A77" s="16"/>
      <c r="B77" s="17"/>
      <c r="C77" s="17"/>
      <c r="D77" s="18"/>
      <c r="E77" s="18"/>
      <c r="F77" s="19"/>
      <c r="G77" s="19"/>
      <c r="H77" s="17"/>
      <c r="I77" s="20"/>
      <c r="J77" s="18"/>
      <c r="K77" s="17"/>
      <c r="L77" s="18"/>
      <c r="M77" s="17" t="str">
        <f t="shared" ca="1" si="1"/>
        <v/>
      </c>
    </row>
    <row r="78" spans="1:13" ht="14.25" hidden="1" customHeight="1" outlineLevel="1">
      <c r="A78" s="16"/>
      <c r="B78" s="17"/>
      <c r="C78" s="17"/>
      <c r="D78" s="18"/>
      <c r="E78" s="18"/>
      <c r="F78" s="19"/>
      <c r="G78" s="19"/>
      <c r="H78" s="17"/>
      <c r="I78" s="20"/>
      <c r="J78" s="18"/>
      <c r="K78" s="17"/>
      <c r="L78" s="18"/>
      <c r="M78" s="17" t="str">
        <f t="shared" ca="1" si="1"/>
        <v/>
      </c>
    </row>
    <row r="79" spans="1:13" ht="14.25" hidden="1" customHeight="1" outlineLevel="1">
      <c r="A79" s="16"/>
      <c r="B79" s="17"/>
      <c r="C79" s="17"/>
      <c r="D79" s="18"/>
      <c r="E79" s="18"/>
      <c r="F79" s="19"/>
      <c r="G79" s="19"/>
      <c r="H79" s="17"/>
      <c r="I79" s="20"/>
      <c r="J79" s="18"/>
      <c r="K79" s="17"/>
      <c r="L79" s="18"/>
      <c r="M79" s="17" t="str">
        <f t="shared" ca="1" si="1"/>
        <v/>
      </c>
    </row>
    <row r="80" spans="1:13" ht="14.25" hidden="1" customHeight="1" outlineLevel="1">
      <c r="A80" s="16"/>
      <c r="B80" s="17"/>
      <c r="C80" s="17"/>
      <c r="D80" s="18"/>
      <c r="E80" s="18"/>
      <c r="F80" s="19"/>
      <c r="G80" s="19"/>
      <c r="H80" s="17"/>
      <c r="I80" s="20"/>
      <c r="J80" s="18"/>
      <c r="K80" s="17"/>
      <c r="L80" s="18"/>
      <c r="M80" s="17" t="str">
        <f t="shared" ca="1" si="1"/>
        <v/>
      </c>
    </row>
    <row r="81" spans="1:13" ht="14.25" hidden="1" customHeight="1" outlineLevel="1">
      <c r="A81" s="16"/>
      <c r="B81" s="17"/>
      <c r="C81" s="17"/>
      <c r="D81" s="18"/>
      <c r="E81" s="18"/>
      <c r="F81" s="19"/>
      <c r="G81" s="19"/>
      <c r="H81" s="17"/>
      <c r="I81" s="20"/>
      <c r="J81" s="18"/>
      <c r="K81" s="17"/>
      <c r="L81" s="18"/>
      <c r="M81" s="17" t="str">
        <f t="shared" ca="1" si="1"/>
        <v/>
      </c>
    </row>
    <row r="82" spans="1:13" ht="14.25" hidden="1" customHeight="1" outlineLevel="1">
      <c r="A82" s="16"/>
      <c r="B82" s="17"/>
      <c r="C82" s="17"/>
      <c r="D82" s="18"/>
      <c r="E82" s="18"/>
      <c r="F82" s="19"/>
      <c r="G82" s="19"/>
      <c r="H82" s="17"/>
      <c r="I82" s="20"/>
      <c r="J82" s="18"/>
      <c r="K82" s="17"/>
      <c r="L82" s="18"/>
      <c r="M82" s="17" t="str">
        <f t="shared" ca="1" si="1"/>
        <v/>
      </c>
    </row>
    <row r="83" spans="1:13" ht="14.25" hidden="1" customHeight="1" outlineLevel="1">
      <c r="A83" s="16"/>
      <c r="B83" s="17"/>
      <c r="C83" s="17"/>
      <c r="D83" s="18"/>
      <c r="E83" s="18"/>
      <c r="F83" s="19"/>
      <c r="G83" s="19"/>
      <c r="H83" s="17"/>
      <c r="I83" s="20"/>
      <c r="J83" s="18"/>
      <c r="K83" s="17"/>
      <c r="L83" s="18"/>
      <c r="M83" s="17" t="str">
        <f t="shared" ca="1" si="1"/>
        <v/>
      </c>
    </row>
    <row r="84" spans="1:13" ht="14.25" hidden="1" customHeight="1" outlineLevel="1">
      <c r="A84" s="16"/>
      <c r="B84" s="17"/>
      <c r="C84" s="17"/>
      <c r="D84" s="18"/>
      <c r="E84" s="18"/>
      <c r="F84" s="19"/>
      <c r="G84" s="19"/>
      <c r="H84" s="17"/>
      <c r="I84" s="20"/>
      <c r="J84" s="18"/>
      <c r="K84" s="17"/>
      <c r="L84" s="18"/>
      <c r="M84" s="17" t="str">
        <f t="shared" ca="1" si="1"/>
        <v/>
      </c>
    </row>
    <row r="85" spans="1:13" ht="14.25" hidden="1" customHeight="1" outlineLevel="1">
      <c r="A85" s="16"/>
      <c r="B85" s="17"/>
      <c r="C85" s="17"/>
      <c r="D85" s="18"/>
      <c r="E85" s="18"/>
      <c r="F85" s="19"/>
      <c r="G85" s="19"/>
      <c r="H85" s="17"/>
      <c r="I85" s="20"/>
      <c r="J85" s="18"/>
      <c r="K85" s="17"/>
      <c r="L85" s="18"/>
      <c r="M85" s="17" t="str">
        <f t="shared" ca="1" si="1"/>
        <v/>
      </c>
    </row>
    <row r="86" spans="1:13" ht="14.25" hidden="1" customHeight="1" outlineLevel="1">
      <c r="A86" s="16"/>
      <c r="B86" s="17"/>
      <c r="C86" s="17"/>
      <c r="D86" s="18"/>
      <c r="E86" s="18"/>
      <c r="F86" s="19"/>
      <c r="G86" s="19"/>
      <c r="H86" s="17"/>
      <c r="I86" s="20"/>
      <c r="J86" s="18"/>
      <c r="K86" s="17"/>
      <c r="L86" s="18"/>
      <c r="M86" s="17" t="str">
        <f t="shared" ca="1" si="1"/>
        <v/>
      </c>
    </row>
    <row r="87" spans="1:13" ht="14.25" hidden="1" customHeight="1" outlineLevel="1">
      <c r="A87" s="16"/>
      <c r="B87" s="17"/>
      <c r="C87" s="17"/>
      <c r="D87" s="18"/>
      <c r="E87" s="18"/>
      <c r="F87" s="19"/>
      <c r="G87" s="19"/>
      <c r="H87" s="17"/>
      <c r="I87" s="20"/>
      <c r="J87" s="18"/>
      <c r="K87" s="17"/>
      <c r="L87" s="18"/>
      <c r="M87" s="17" t="str">
        <f t="shared" ca="1" si="1"/>
        <v/>
      </c>
    </row>
    <row r="88" spans="1:13" ht="14.25" hidden="1" customHeight="1" outlineLevel="1">
      <c r="A88" s="16"/>
      <c r="B88" s="17"/>
      <c r="C88" s="17"/>
      <c r="D88" s="18"/>
      <c r="E88" s="18"/>
      <c r="F88" s="19"/>
      <c r="G88" s="19"/>
      <c r="H88" s="17"/>
      <c r="I88" s="20"/>
      <c r="J88" s="18"/>
      <c r="K88" s="17"/>
      <c r="L88" s="18"/>
      <c r="M88" s="17" t="str">
        <f t="shared" ca="1" si="1"/>
        <v/>
      </c>
    </row>
    <row r="89" spans="1:13" ht="14.25" hidden="1" customHeight="1" outlineLevel="1">
      <c r="A89" s="16"/>
      <c r="B89" s="17"/>
      <c r="C89" s="17"/>
      <c r="D89" s="18"/>
      <c r="E89" s="18"/>
      <c r="F89" s="19"/>
      <c r="G89" s="19"/>
      <c r="H89" s="17"/>
      <c r="I89" s="20"/>
      <c r="J89" s="18"/>
      <c r="K89" s="17"/>
      <c r="L89" s="18"/>
      <c r="M89" s="17" t="str">
        <f t="shared" ca="1" si="1"/>
        <v/>
      </c>
    </row>
    <row r="90" spans="1:13" ht="14.25" hidden="1" customHeight="1" outlineLevel="1">
      <c r="A90" s="16"/>
      <c r="B90" s="17"/>
      <c r="C90" s="17"/>
      <c r="D90" s="18"/>
      <c r="E90" s="18"/>
      <c r="F90" s="19"/>
      <c r="G90" s="19"/>
      <c r="H90" s="17"/>
      <c r="I90" s="20"/>
      <c r="J90" s="18"/>
      <c r="K90" s="17"/>
      <c r="L90" s="18"/>
      <c r="M90" s="17" t="str">
        <f t="shared" ca="1" si="1"/>
        <v/>
      </c>
    </row>
    <row r="91" spans="1:13" ht="14.25" hidden="1" customHeight="1" outlineLevel="1">
      <c r="A91" s="16"/>
      <c r="B91" s="17"/>
      <c r="C91" s="17"/>
      <c r="D91" s="18"/>
      <c r="E91" s="18"/>
      <c r="F91" s="19"/>
      <c r="G91" s="19"/>
      <c r="H91" s="17"/>
      <c r="I91" s="20"/>
      <c r="J91" s="18"/>
      <c r="K91" s="17"/>
      <c r="L91" s="18"/>
      <c r="M91" s="17" t="str">
        <f t="shared" ca="1" si="1"/>
        <v/>
      </c>
    </row>
    <row r="92" spans="1:13" ht="14.25" hidden="1" customHeight="1" outlineLevel="1">
      <c r="A92" s="16"/>
      <c r="B92" s="17"/>
      <c r="C92" s="17"/>
      <c r="D92" s="18"/>
      <c r="E92" s="18"/>
      <c r="F92" s="19"/>
      <c r="G92" s="19"/>
      <c r="H92" s="17"/>
      <c r="I92" s="20"/>
      <c r="J92" s="18"/>
      <c r="K92" s="17"/>
      <c r="L92" s="18"/>
      <c r="M92" s="17" t="str">
        <f t="shared" ca="1" si="1"/>
        <v/>
      </c>
    </row>
    <row r="93" spans="1:13" ht="14.25" hidden="1" customHeight="1" outlineLevel="1">
      <c r="A93" s="16"/>
      <c r="B93" s="17"/>
      <c r="C93" s="17"/>
      <c r="D93" s="18"/>
      <c r="E93" s="18"/>
      <c r="F93" s="19"/>
      <c r="G93" s="19"/>
      <c r="H93" s="17"/>
      <c r="I93" s="20"/>
      <c r="J93" s="18"/>
      <c r="K93" s="17"/>
      <c r="L93" s="18"/>
      <c r="M93" s="17" t="str">
        <f t="shared" ca="1" si="1"/>
        <v/>
      </c>
    </row>
    <row r="94" spans="1:13" ht="14.25" hidden="1" customHeight="1" outlineLevel="1">
      <c r="A94" s="16"/>
      <c r="B94" s="17"/>
      <c r="C94" s="17"/>
      <c r="D94" s="18"/>
      <c r="E94" s="18"/>
      <c r="F94" s="19"/>
      <c r="G94" s="19"/>
      <c r="H94" s="17"/>
      <c r="I94" s="20"/>
      <c r="J94" s="18"/>
      <c r="K94" s="17"/>
      <c r="L94" s="18"/>
      <c r="M94" s="17" t="str">
        <f t="shared" ca="1" si="1"/>
        <v/>
      </c>
    </row>
    <row r="95" spans="1:13" ht="14.25" hidden="1" customHeight="1" outlineLevel="1">
      <c r="A95" s="16"/>
      <c r="B95" s="17"/>
      <c r="C95" s="17"/>
      <c r="D95" s="18"/>
      <c r="E95" s="18"/>
      <c r="F95" s="19"/>
      <c r="G95" s="19"/>
      <c r="H95" s="17"/>
      <c r="I95" s="20"/>
      <c r="J95" s="18"/>
      <c r="K95" s="17"/>
      <c r="L95" s="18"/>
      <c r="M95" s="17" t="str">
        <f t="shared" ca="1" si="1"/>
        <v/>
      </c>
    </row>
    <row r="96" spans="1:13" ht="14.25" hidden="1" customHeight="1" outlineLevel="1">
      <c r="A96" s="16"/>
      <c r="B96" s="17"/>
      <c r="C96" s="17"/>
      <c r="D96" s="18"/>
      <c r="E96" s="18"/>
      <c r="F96" s="19"/>
      <c r="G96" s="19"/>
      <c r="H96" s="17"/>
      <c r="I96" s="20"/>
      <c r="J96" s="18"/>
      <c r="K96" s="17"/>
      <c r="L96" s="18"/>
      <c r="M96" s="17" t="str">
        <f t="shared" ca="1" si="1"/>
        <v/>
      </c>
    </row>
    <row r="97" spans="1:13" ht="14.25" hidden="1" customHeight="1" outlineLevel="1">
      <c r="A97" s="16"/>
      <c r="B97" s="17"/>
      <c r="C97" s="17"/>
      <c r="D97" s="18"/>
      <c r="E97" s="18"/>
      <c r="F97" s="19"/>
      <c r="G97" s="19"/>
      <c r="H97" s="17"/>
      <c r="I97" s="20"/>
      <c r="J97" s="18"/>
      <c r="K97" s="17"/>
      <c r="L97" s="18"/>
      <c r="M97" s="17" t="str">
        <f t="shared" ca="1" si="1"/>
        <v/>
      </c>
    </row>
    <row r="98" spans="1:13" ht="14.25" hidden="1" customHeight="1" outlineLevel="1">
      <c r="A98" s="16"/>
      <c r="B98" s="17"/>
      <c r="C98" s="17"/>
      <c r="D98" s="18"/>
      <c r="E98" s="18"/>
      <c r="F98" s="19"/>
      <c r="G98" s="19"/>
      <c r="H98" s="17"/>
      <c r="I98" s="20"/>
      <c r="J98" s="18"/>
      <c r="K98" s="17"/>
      <c r="L98" s="18"/>
      <c r="M98" s="17" t="str">
        <f t="shared" ca="1" si="1"/>
        <v/>
      </c>
    </row>
    <row r="99" spans="1:13" ht="14.25" hidden="1" customHeight="1" outlineLevel="1">
      <c r="A99" s="16"/>
      <c r="B99" s="17"/>
      <c r="C99" s="17"/>
      <c r="D99" s="18"/>
      <c r="E99" s="18"/>
      <c r="F99" s="19"/>
      <c r="G99" s="19"/>
      <c r="H99" s="17"/>
      <c r="I99" s="20"/>
      <c r="J99" s="18"/>
      <c r="K99" s="17"/>
      <c r="L99" s="18"/>
      <c r="M99" s="17" t="str">
        <f t="shared" ca="1" si="1"/>
        <v/>
      </c>
    </row>
    <row r="100" spans="1:13" ht="14.25" hidden="1" customHeight="1" outlineLevel="1">
      <c r="A100" s="16"/>
      <c r="B100" s="17"/>
      <c r="C100" s="17"/>
      <c r="D100" s="18"/>
      <c r="E100" s="18"/>
      <c r="F100" s="19"/>
      <c r="G100" s="19"/>
      <c r="H100" s="17"/>
      <c r="I100" s="20"/>
      <c r="J100" s="18"/>
      <c r="K100" s="17"/>
      <c r="L100" s="18"/>
      <c r="M100" s="17" t="str">
        <f t="shared" ca="1" si="1"/>
        <v/>
      </c>
    </row>
    <row r="101" spans="1:13" ht="14.25" hidden="1" customHeight="1" outlineLevel="1">
      <c r="A101" s="16"/>
      <c r="B101" s="17"/>
      <c r="C101" s="17"/>
      <c r="D101" s="18"/>
      <c r="E101" s="18"/>
      <c r="F101" s="19"/>
      <c r="G101" s="19"/>
      <c r="H101" s="17"/>
      <c r="I101" s="20"/>
      <c r="J101" s="18"/>
      <c r="K101" s="17"/>
      <c r="L101" s="18"/>
      <c r="M101" s="17" t="str">
        <f t="shared" ca="1" si="1"/>
        <v/>
      </c>
    </row>
    <row r="102" spans="1:13" ht="36.75" customHeight="1" collapsed="1">
      <c r="A102" s="16" t="s">
        <v>173</v>
      </c>
      <c r="B102" s="17" t="s">
        <v>76</v>
      </c>
      <c r="C102" s="17" t="s">
        <v>174</v>
      </c>
      <c r="D102" s="18" t="s">
        <v>175</v>
      </c>
      <c r="E102" s="18" t="s">
        <v>176</v>
      </c>
      <c r="F102" s="19">
        <v>46261</v>
      </c>
      <c r="G102" s="19">
        <v>46264</v>
      </c>
      <c r="H102" s="17" t="s">
        <v>47</v>
      </c>
      <c r="I102" s="20">
        <v>100</v>
      </c>
      <c r="J102" s="18" t="s">
        <v>177</v>
      </c>
      <c r="K102" s="17" t="s">
        <v>96</v>
      </c>
      <c r="L102" s="18"/>
      <c r="M102" s="17" t="str">
        <f t="shared" ca="1" si="1"/>
        <v>Completed</v>
      </c>
    </row>
    <row r="103" spans="1:13" ht="36.75" customHeight="1">
      <c r="A103" s="16" t="s">
        <v>178</v>
      </c>
      <c r="B103" s="17" t="s">
        <v>76</v>
      </c>
      <c r="C103" s="17" t="s">
        <v>174</v>
      </c>
      <c r="D103" s="18" t="s">
        <v>179</v>
      </c>
      <c r="E103" s="18" t="s">
        <v>180</v>
      </c>
      <c r="F103" s="19">
        <v>46266</v>
      </c>
      <c r="G103" s="19">
        <v>46270</v>
      </c>
      <c r="H103" s="17" t="s">
        <v>47</v>
      </c>
      <c r="I103" s="20">
        <v>100</v>
      </c>
      <c r="J103" s="18" t="s">
        <v>181</v>
      </c>
      <c r="K103" s="17" t="s">
        <v>96</v>
      </c>
      <c r="L103" s="18"/>
      <c r="M103" s="17" t="str">
        <f t="shared" ca="1" si="1"/>
        <v>Completed</v>
      </c>
    </row>
    <row r="104" spans="1:13" ht="36.75" customHeight="1">
      <c r="A104" s="16" t="s">
        <v>182</v>
      </c>
      <c r="B104" s="17" t="s">
        <v>76</v>
      </c>
      <c r="C104" s="17" t="s">
        <v>174</v>
      </c>
      <c r="D104" s="18" t="s">
        <v>183</v>
      </c>
      <c r="E104" s="18" t="s">
        <v>184</v>
      </c>
      <c r="F104" s="19">
        <v>46266</v>
      </c>
      <c r="G104" s="19">
        <v>46273</v>
      </c>
      <c r="H104" s="17" t="s">
        <v>47</v>
      </c>
      <c r="I104" s="20">
        <v>100</v>
      </c>
      <c r="J104" s="18" t="s">
        <v>185</v>
      </c>
      <c r="K104" s="17" t="s">
        <v>96</v>
      </c>
      <c r="L104" s="18"/>
      <c r="M104" s="17" t="str">
        <f t="shared" ca="1" si="1"/>
        <v>Completed</v>
      </c>
    </row>
    <row r="105" spans="1:13" ht="36.75" customHeight="1">
      <c r="A105" s="16" t="s">
        <v>186</v>
      </c>
      <c r="B105" s="17" t="s">
        <v>76</v>
      </c>
      <c r="C105" s="17" t="s">
        <v>174</v>
      </c>
      <c r="D105" s="18" t="s">
        <v>187</v>
      </c>
      <c r="E105" s="18" t="s">
        <v>188</v>
      </c>
      <c r="F105" s="19">
        <v>46270</v>
      </c>
      <c r="G105" s="19">
        <v>46275</v>
      </c>
      <c r="H105" s="17" t="s">
        <v>47</v>
      </c>
      <c r="I105" s="20">
        <v>100</v>
      </c>
      <c r="J105" s="18" t="s">
        <v>189</v>
      </c>
      <c r="K105" s="17" t="s">
        <v>96</v>
      </c>
      <c r="L105" s="18"/>
      <c r="M105" s="17" t="str">
        <f t="shared" ca="1" si="1"/>
        <v>Completed</v>
      </c>
    </row>
    <row r="106" spans="1:13" ht="36.75" customHeight="1">
      <c r="A106" s="16" t="s">
        <v>190</v>
      </c>
      <c r="B106" s="17" t="s">
        <v>76</v>
      </c>
      <c r="C106" s="17" t="s">
        <v>174</v>
      </c>
      <c r="D106" s="18" t="s">
        <v>191</v>
      </c>
      <c r="E106" s="18" t="s">
        <v>176</v>
      </c>
      <c r="F106" s="19">
        <v>46273</v>
      </c>
      <c r="G106" s="19">
        <v>46277</v>
      </c>
      <c r="H106" s="17" t="s">
        <v>47</v>
      </c>
      <c r="I106" s="20">
        <v>100</v>
      </c>
      <c r="J106" s="18" t="s">
        <v>192</v>
      </c>
      <c r="K106" s="17" t="s">
        <v>96</v>
      </c>
      <c r="L106" s="18"/>
      <c r="M106" s="17" t="str">
        <f t="shared" ca="1" si="1"/>
        <v>Completed</v>
      </c>
    </row>
    <row r="107" spans="1:13" ht="36.75" customHeight="1">
      <c r="A107" s="16" t="s">
        <v>193</v>
      </c>
      <c r="B107" s="17" t="s">
        <v>76</v>
      </c>
      <c r="C107" s="17" t="s">
        <v>194</v>
      </c>
      <c r="D107" s="18" t="s">
        <v>195</v>
      </c>
      <c r="E107" s="18" t="s">
        <v>196</v>
      </c>
      <c r="F107" s="19">
        <v>46275</v>
      </c>
      <c r="G107" s="19">
        <v>46283</v>
      </c>
      <c r="H107" s="17" t="s">
        <v>47</v>
      </c>
      <c r="I107" s="20">
        <v>100</v>
      </c>
      <c r="J107" s="18" t="s">
        <v>197</v>
      </c>
      <c r="K107" s="17" t="s">
        <v>96</v>
      </c>
      <c r="L107" s="18"/>
      <c r="M107" s="17" t="str">
        <f t="shared" ca="1" si="1"/>
        <v>Completed</v>
      </c>
    </row>
    <row r="108" spans="1:13" ht="36.75" customHeight="1">
      <c r="A108" s="16" t="s">
        <v>198</v>
      </c>
      <c r="B108" s="17" t="s">
        <v>76</v>
      </c>
      <c r="C108" s="17" t="s">
        <v>194</v>
      </c>
      <c r="D108" s="18" t="s">
        <v>199</v>
      </c>
      <c r="E108" s="18" t="s">
        <v>168</v>
      </c>
      <c r="F108" s="19">
        <v>46275</v>
      </c>
      <c r="G108" s="19">
        <v>46283</v>
      </c>
      <c r="H108" s="17" t="s">
        <v>47</v>
      </c>
      <c r="I108" s="20">
        <v>100</v>
      </c>
      <c r="J108" s="18" t="s">
        <v>200</v>
      </c>
      <c r="K108" s="17" t="s">
        <v>96</v>
      </c>
      <c r="L108" s="18"/>
      <c r="M108" s="17" t="str">
        <f t="shared" ca="1" si="1"/>
        <v>Completed</v>
      </c>
    </row>
    <row r="109" spans="1:13" ht="36.75" customHeight="1">
      <c r="A109" s="16" t="s">
        <v>201</v>
      </c>
      <c r="B109" s="17" t="s">
        <v>76</v>
      </c>
      <c r="C109" s="17" t="s">
        <v>194</v>
      </c>
      <c r="D109" s="18" t="s">
        <v>202</v>
      </c>
      <c r="E109" s="18" t="s">
        <v>180</v>
      </c>
      <c r="F109" s="19">
        <v>46284</v>
      </c>
      <c r="G109" s="19">
        <v>46286</v>
      </c>
      <c r="H109" s="17" t="s">
        <v>47</v>
      </c>
      <c r="I109" s="20">
        <v>100</v>
      </c>
      <c r="J109" s="18" t="s">
        <v>203</v>
      </c>
      <c r="K109" s="17" t="s">
        <v>96</v>
      </c>
      <c r="L109" s="18"/>
      <c r="M109" s="17" t="str">
        <f t="shared" ca="1" si="1"/>
        <v>Completed</v>
      </c>
    </row>
    <row r="110" spans="1:13" ht="36.75" customHeight="1">
      <c r="A110" s="16" t="s">
        <v>204</v>
      </c>
      <c r="B110" s="17" t="s">
        <v>76</v>
      </c>
      <c r="C110" s="17" t="s">
        <v>205</v>
      </c>
      <c r="D110" s="18" t="s">
        <v>206</v>
      </c>
      <c r="E110" s="18" t="s">
        <v>184</v>
      </c>
      <c r="F110" s="19">
        <v>46285</v>
      </c>
      <c r="G110" s="19">
        <v>46287</v>
      </c>
      <c r="H110" s="17" t="s">
        <v>47</v>
      </c>
      <c r="I110" s="20">
        <v>100</v>
      </c>
      <c r="J110" s="18" t="s">
        <v>207</v>
      </c>
      <c r="K110" s="17" t="s">
        <v>96</v>
      </c>
      <c r="L110" s="18"/>
      <c r="M110" s="17" t="str">
        <f t="shared" ca="1" si="1"/>
        <v>Completed</v>
      </c>
    </row>
    <row r="111" spans="1:13" ht="36.75" customHeight="1">
      <c r="A111" s="16" t="s">
        <v>208</v>
      </c>
      <c r="B111" s="17" t="s">
        <v>76</v>
      </c>
      <c r="C111" s="17" t="s">
        <v>205</v>
      </c>
      <c r="D111" s="18" t="s">
        <v>209</v>
      </c>
      <c r="E111" s="18" t="s">
        <v>196</v>
      </c>
      <c r="F111" s="19">
        <v>46286</v>
      </c>
      <c r="G111" s="19">
        <v>46288</v>
      </c>
      <c r="H111" s="17" t="s">
        <v>47</v>
      </c>
      <c r="I111" s="20">
        <v>100</v>
      </c>
      <c r="J111" s="18" t="s">
        <v>210</v>
      </c>
      <c r="K111" s="17" t="s">
        <v>96</v>
      </c>
      <c r="L111" s="18"/>
      <c r="M111" s="17" t="str">
        <f t="shared" ca="1" si="1"/>
        <v>Completed</v>
      </c>
    </row>
    <row r="112" spans="1:13" ht="36.75" customHeight="1">
      <c r="A112" s="16" t="s">
        <v>211</v>
      </c>
      <c r="B112" s="17" t="s">
        <v>76</v>
      </c>
      <c r="C112" s="17" t="s">
        <v>205</v>
      </c>
      <c r="D112" s="18" t="s">
        <v>212</v>
      </c>
      <c r="E112" s="18" t="s">
        <v>188</v>
      </c>
      <c r="F112" s="19">
        <v>46287</v>
      </c>
      <c r="G112" s="19">
        <v>46288</v>
      </c>
      <c r="H112" s="17" t="s">
        <v>47</v>
      </c>
      <c r="I112" s="20">
        <v>100</v>
      </c>
      <c r="J112" s="18" t="s">
        <v>213</v>
      </c>
      <c r="K112" s="17" t="s">
        <v>96</v>
      </c>
      <c r="L112" s="18"/>
      <c r="M112" s="17" t="str">
        <f t="shared" ca="1" si="1"/>
        <v>Completed</v>
      </c>
    </row>
    <row r="113" spans="1:13" ht="36.75" customHeight="1">
      <c r="A113" s="16" t="s">
        <v>214</v>
      </c>
      <c r="B113" s="17" t="s">
        <v>76</v>
      </c>
      <c r="C113" s="17" t="s">
        <v>205</v>
      </c>
      <c r="D113" s="18" t="s">
        <v>215</v>
      </c>
      <c r="E113" s="18" t="s">
        <v>168</v>
      </c>
      <c r="F113" s="19">
        <v>46288</v>
      </c>
      <c r="G113" s="19">
        <v>46288</v>
      </c>
      <c r="H113" s="17" t="s">
        <v>47</v>
      </c>
      <c r="I113" s="20">
        <v>100</v>
      </c>
      <c r="J113" s="18" t="s">
        <v>169</v>
      </c>
      <c r="K113" s="17" t="s">
        <v>96</v>
      </c>
      <c r="L113" s="18"/>
      <c r="M113" s="17" t="str">
        <f t="shared" ca="1" si="1"/>
        <v>Completed</v>
      </c>
    </row>
    <row r="114" spans="1:13" ht="21" customHeight="1">
      <c r="A114" s="16"/>
      <c r="B114" s="17"/>
      <c r="C114" s="17"/>
      <c r="D114" s="18"/>
      <c r="E114" s="18"/>
      <c r="F114" s="19"/>
      <c r="G114" s="19"/>
      <c r="H114" s="17"/>
      <c r="I114" s="20"/>
      <c r="J114" s="18"/>
      <c r="K114" s="17"/>
      <c r="L114" s="18"/>
      <c r="M114" s="17" t="str">
        <f t="shared" ca="1" si="1"/>
        <v/>
      </c>
    </row>
    <row r="115" spans="1:13" ht="21" customHeight="1">
      <c r="A115" s="16"/>
      <c r="B115" s="17"/>
      <c r="C115" s="17"/>
      <c r="D115" s="18"/>
      <c r="E115" s="18"/>
      <c r="F115" s="19"/>
      <c r="G115" s="19"/>
      <c r="H115" s="17"/>
      <c r="I115" s="20"/>
      <c r="J115" s="18"/>
      <c r="K115" s="17"/>
      <c r="L115" s="18"/>
      <c r="M115" s="17" t="str">
        <f t="shared" ca="1" si="1"/>
        <v/>
      </c>
    </row>
    <row r="116" spans="1:13" ht="21" customHeight="1">
      <c r="A116" s="16"/>
      <c r="B116" s="17"/>
      <c r="C116" s="17"/>
      <c r="D116" s="18"/>
      <c r="E116" s="18"/>
      <c r="F116" s="19"/>
      <c r="G116" s="19"/>
      <c r="H116" s="17"/>
      <c r="I116" s="20"/>
      <c r="J116" s="18"/>
      <c r="K116" s="17"/>
      <c r="L116" s="18"/>
      <c r="M116" s="17" t="str">
        <f t="shared" ca="1" si="1"/>
        <v/>
      </c>
    </row>
    <row r="117" spans="1:13" ht="51.75" customHeight="1">
      <c r="A117" s="16" t="s">
        <v>216</v>
      </c>
      <c r="B117" s="17" t="s">
        <v>36</v>
      </c>
      <c r="C117" s="17" t="s">
        <v>217</v>
      </c>
      <c r="D117" s="18" t="s">
        <v>218</v>
      </c>
      <c r="E117" s="18" t="s">
        <v>176</v>
      </c>
      <c r="F117" s="19">
        <v>46303</v>
      </c>
      <c r="G117" s="19">
        <v>46309</v>
      </c>
      <c r="H117" s="17" t="s">
        <v>47</v>
      </c>
      <c r="I117" s="20">
        <v>100</v>
      </c>
      <c r="J117" s="18" t="s">
        <v>219</v>
      </c>
      <c r="K117" s="17" t="s">
        <v>96</v>
      </c>
      <c r="L117" s="18"/>
      <c r="M117" s="17" t="str">
        <f t="shared" ca="1" si="1"/>
        <v>Completed</v>
      </c>
    </row>
    <row r="118" spans="1:13" ht="51.75" customHeight="1">
      <c r="A118" s="16" t="s">
        <v>220</v>
      </c>
      <c r="B118" s="17" t="s">
        <v>36</v>
      </c>
      <c r="C118" s="17" t="s">
        <v>217</v>
      </c>
      <c r="D118" s="18" t="s">
        <v>221</v>
      </c>
      <c r="E118" s="18" t="s">
        <v>176</v>
      </c>
      <c r="F118" s="19">
        <v>46317</v>
      </c>
      <c r="G118" s="19">
        <v>46318</v>
      </c>
      <c r="H118" s="17" t="s">
        <v>47</v>
      </c>
      <c r="I118" s="20">
        <v>100</v>
      </c>
      <c r="J118" s="18" t="s">
        <v>222</v>
      </c>
      <c r="K118" s="17" t="s">
        <v>96</v>
      </c>
      <c r="L118" s="18"/>
      <c r="M118" s="17" t="str">
        <f t="shared" ca="1" si="1"/>
        <v>Completed</v>
      </c>
    </row>
    <row r="119" spans="1:13" ht="51.75" customHeight="1">
      <c r="A119" s="16" t="s">
        <v>223</v>
      </c>
      <c r="B119" s="17" t="s">
        <v>36</v>
      </c>
      <c r="C119" s="17" t="s">
        <v>224</v>
      </c>
      <c r="D119" s="18" t="s">
        <v>225</v>
      </c>
      <c r="E119" s="18" t="s">
        <v>196</v>
      </c>
      <c r="F119" s="19">
        <v>46310</v>
      </c>
      <c r="G119" s="19">
        <v>46316</v>
      </c>
      <c r="H119" s="17" t="s">
        <v>47</v>
      </c>
      <c r="I119" s="20">
        <v>100</v>
      </c>
      <c r="J119" s="18" t="s">
        <v>226</v>
      </c>
      <c r="K119" s="17" t="s">
        <v>96</v>
      </c>
      <c r="L119" s="18"/>
      <c r="M119" s="17" t="str">
        <f t="shared" ca="1" si="1"/>
        <v>Completed</v>
      </c>
    </row>
    <row r="120" spans="1:13" ht="51.75" customHeight="1">
      <c r="A120" s="16" t="s">
        <v>227</v>
      </c>
      <c r="B120" s="17" t="s">
        <v>36</v>
      </c>
      <c r="C120" s="17" t="s">
        <v>224</v>
      </c>
      <c r="D120" s="18" t="s">
        <v>228</v>
      </c>
      <c r="E120" s="18" t="s">
        <v>180</v>
      </c>
      <c r="F120" s="19">
        <v>46310</v>
      </c>
      <c r="G120" s="19">
        <v>46316</v>
      </c>
      <c r="H120" s="17" t="s">
        <v>47</v>
      </c>
      <c r="I120" s="20">
        <v>100</v>
      </c>
      <c r="J120" s="18" t="s">
        <v>229</v>
      </c>
      <c r="K120" s="17" t="s">
        <v>96</v>
      </c>
      <c r="L120" s="18"/>
      <c r="M120" s="17" t="str">
        <f t="shared" ca="1" si="1"/>
        <v>Completed</v>
      </c>
    </row>
    <row r="121" spans="1:13" ht="51.75" customHeight="1">
      <c r="A121" s="16" t="s">
        <v>230</v>
      </c>
      <c r="B121" s="17" t="s">
        <v>36</v>
      </c>
      <c r="C121" s="17" t="s">
        <v>224</v>
      </c>
      <c r="D121" s="18" t="s">
        <v>231</v>
      </c>
      <c r="E121" s="18" t="s">
        <v>168</v>
      </c>
      <c r="F121" s="19">
        <v>46310</v>
      </c>
      <c r="G121" s="19">
        <v>46316</v>
      </c>
      <c r="H121" s="17" t="s">
        <v>47</v>
      </c>
      <c r="I121" s="20">
        <v>100</v>
      </c>
      <c r="J121" s="18" t="s">
        <v>232</v>
      </c>
      <c r="K121" s="17" t="s">
        <v>96</v>
      </c>
      <c r="L121" s="18"/>
      <c r="M121" s="17" t="str">
        <f t="shared" ca="1" si="1"/>
        <v>Completed</v>
      </c>
    </row>
    <row r="122" spans="1:13" ht="51.75" customHeight="1">
      <c r="A122" s="16" t="s">
        <v>233</v>
      </c>
      <c r="B122" s="17" t="s">
        <v>36</v>
      </c>
      <c r="C122" s="17" t="s">
        <v>224</v>
      </c>
      <c r="D122" s="18" t="s">
        <v>234</v>
      </c>
      <c r="E122" s="18" t="s">
        <v>188</v>
      </c>
      <c r="F122" s="19">
        <v>46310</v>
      </c>
      <c r="G122" s="19">
        <v>46316</v>
      </c>
      <c r="H122" s="17" t="s">
        <v>47</v>
      </c>
      <c r="I122" s="20">
        <v>100</v>
      </c>
      <c r="J122" s="18" t="s">
        <v>235</v>
      </c>
      <c r="K122" s="17" t="s">
        <v>96</v>
      </c>
      <c r="L122" s="18"/>
      <c r="M122" s="17" t="str">
        <f t="shared" ca="1" si="1"/>
        <v>Completed</v>
      </c>
    </row>
    <row r="123" spans="1:13" ht="51.75" customHeight="1">
      <c r="A123" s="16" t="s">
        <v>236</v>
      </c>
      <c r="B123" s="17" t="s">
        <v>36</v>
      </c>
      <c r="C123" s="17" t="s">
        <v>224</v>
      </c>
      <c r="D123" s="18" t="s">
        <v>237</v>
      </c>
      <c r="E123" s="18" t="s">
        <v>168</v>
      </c>
      <c r="F123" s="19">
        <v>46317</v>
      </c>
      <c r="G123" s="19">
        <v>46323</v>
      </c>
      <c r="H123" s="17" t="s">
        <v>47</v>
      </c>
      <c r="I123" s="20">
        <v>100</v>
      </c>
      <c r="J123" s="18" t="s">
        <v>238</v>
      </c>
      <c r="K123" s="17" t="s">
        <v>96</v>
      </c>
      <c r="L123" s="18"/>
      <c r="M123" s="17" t="str">
        <f t="shared" ca="1" si="1"/>
        <v>Completed</v>
      </c>
    </row>
    <row r="124" spans="1:13" ht="36.75" customHeight="1">
      <c r="A124" s="16" t="s">
        <v>239</v>
      </c>
      <c r="B124" s="17" t="s">
        <v>36</v>
      </c>
      <c r="C124" s="17" t="s">
        <v>240</v>
      </c>
      <c r="D124" s="18" t="s">
        <v>241</v>
      </c>
      <c r="E124" s="18" t="s">
        <v>242</v>
      </c>
      <c r="F124" s="19">
        <v>46317</v>
      </c>
      <c r="G124" s="19">
        <v>46322</v>
      </c>
      <c r="H124" s="17" t="s">
        <v>47</v>
      </c>
      <c r="I124" s="20">
        <v>100</v>
      </c>
      <c r="J124" s="18" t="s">
        <v>243</v>
      </c>
      <c r="K124" s="17" t="s">
        <v>96</v>
      </c>
      <c r="L124" s="18"/>
      <c r="M124" s="17" t="str">
        <f t="shared" ca="1" si="1"/>
        <v>Completed</v>
      </c>
    </row>
    <row r="125" spans="1:13" ht="51.75" customHeight="1">
      <c r="A125" s="16" t="s">
        <v>244</v>
      </c>
      <c r="B125" s="17" t="s">
        <v>36</v>
      </c>
      <c r="C125" s="17" t="s">
        <v>240</v>
      </c>
      <c r="D125" s="18" t="s">
        <v>245</v>
      </c>
      <c r="E125" s="18" t="s">
        <v>246</v>
      </c>
      <c r="F125" s="19">
        <v>46317</v>
      </c>
      <c r="G125" s="19">
        <v>46321</v>
      </c>
      <c r="H125" s="17" t="s">
        <v>47</v>
      </c>
      <c r="I125" s="20">
        <v>100</v>
      </c>
      <c r="J125" s="18" t="s">
        <v>247</v>
      </c>
      <c r="K125" s="17" t="s">
        <v>96</v>
      </c>
      <c r="L125" s="18"/>
      <c r="M125" s="17" t="str">
        <f t="shared" ca="1" si="1"/>
        <v>Completed</v>
      </c>
    </row>
    <row r="126" spans="1:13" ht="36.75" customHeight="1">
      <c r="A126" s="16" t="s">
        <v>248</v>
      </c>
      <c r="B126" s="17" t="s">
        <v>36</v>
      </c>
      <c r="C126" s="17" t="s">
        <v>240</v>
      </c>
      <c r="D126" s="18" t="s">
        <v>249</v>
      </c>
      <c r="E126" s="18" t="s">
        <v>196</v>
      </c>
      <c r="F126" s="19">
        <v>46317</v>
      </c>
      <c r="G126" s="19">
        <v>46325</v>
      </c>
      <c r="H126" s="17" t="s">
        <v>47</v>
      </c>
      <c r="I126" s="20">
        <v>100</v>
      </c>
      <c r="J126" s="18" t="s">
        <v>210</v>
      </c>
      <c r="K126" s="17" t="s">
        <v>96</v>
      </c>
      <c r="L126" s="18"/>
      <c r="M126" s="17" t="str">
        <f t="shared" ca="1" si="1"/>
        <v>Completed</v>
      </c>
    </row>
    <row r="127" spans="1:13" ht="51.75" customHeight="1">
      <c r="A127" s="16" t="s">
        <v>250</v>
      </c>
      <c r="B127" s="17" t="s">
        <v>36</v>
      </c>
      <c r="C127" s="17" t="s">
        <v>240</v>
      </c>
      <c r="D127" s="18" t="s">
        <v>251</v>
      </c>
      <c r="E127" s="18" t="s">
        <v>252</v>
      </c>
      <c r="F127" s="19">
        <v>46321</v>
      </c>
      <c r="G127" s="19">
        <v>46323</v>
      </c>
      <c r="H127" s="17" t="s">
        <v>47</v>
      </c>
      <c r="I127" s="20">
        <v>100</v>
      </c>
      <c r="J127" s="18" t="s">
        <v>253</v>
      </c>
      <c r="K127" s="17" t="s">
        <v>96</v>
      </c>
      <c r="L127" s="18"/>
      <c r="M127" s="17" t="str">
        <f t="shared" ca="1" si="1"/>
        <v>Completed</v>
      </c>
    </row>
    <row r="128" spans="1:13" ht="51.75" customHeight="1">
      <c r="A128" s="16" t="s">
        <v>254</v>
      </c>
      <c r="B128" s="17" t="s">
        <v>36</v>
      </c>
      <c r="C128" s="17" t="s">
        <v>255</v>
      </c>
      <c r="D128" s="18" t="s">
        <v>256</v>
      </c>
      <c r="E128" s="18" t="s">
        <v>184</v>
      </c>
      <c r="F128" s="19">
        <v>46321</v>
      </c>
      <c r="G128" s="19">
        <v>46324</v>
      </c>
      <c r="H128" s="17" t="s">
        <v>47</v>
      </c>
      <c r="I128" s="20">
        <v>100</v>
      </c>
      <c r="J128" s="18" t="s">
        <v>257</v>
      </c>
      <c r="K128" s="17" t="s">
        <v>96</v>
      </c>
      <c r="L128" s="18"/>
      <c r="M128" s="17" t="str">
        <f t="shared" ca="1" si="1"/>
        <v>Completed</v>
      </c>
    </row>
    <row r="129" spans="1:13" ht="36.75" customHeight="1">
      <c r="A129" s="16" t="s">
        <v>258</v>
      </c>
      <c r="B129" s="17" t="s">
        <v>36</v>
      </c>
      <c r="C129" s="17" t="s">
        <v>255</v>
      </c>
      <c r="D129" s="18" t="s">
        <v>259</v>
      </c>
      <c r="E129" s="18" t="s">
        <v>184</v>
      </c>
      <c r="F129" s="19">
        <v>46318</v>
      </c>
      <c r="G129" s="19">
        <v>46322</v>
      </c>
      <c r="H129" s="17" t="s">
        <v>47</v>
      </c>
      <c r="I129" s="20">
        <v>100</v>
      </c>
      <c r="J129" s="18" t="s">
        <v>260</v>
      </c>
      <c r="K129" s="17" t="s">
        <v>96</v>
      </c>
      <c r="L129" s="18"/>
      <c r="M129" s="17" t="str">
        <f t="shared" ca="1" si="1"/>
        <v>Completed</v>
      </c>
    </row>
    <row r="130" spans="1:13" ht="51.75" customHeight="1">
      <c r="A130" s="16" t="s">
        <v>261</v>
      </c>
      <c r="B130" s="17" t="s">
        <v>36</v>
      </c>
      <c r="C130" s="17" t="s">
        <v>255</v>
      </c>
      <c r="D130" s="18" t="s">
        <v>262</v>
      </c>
      <c r="E130" s="18" t="s">
        <v>184</v>
      </c>
      <c r="F130" s="19">
        <v>46323</v>
      </c>
      <c r="G130" s="19">
        <v>46324</v>
      </c>
      <c r="H130" s="17" t="s">
        <v>47</v>
      </c>
      <c r="I130" s="20">
        <v>100</v>
      </c>
      <c r="J130" s="18" t="s">
        <v>263</v>
      </c>
      <c r="K130" s="17" t="s">
        <v>96</v>
      </c>
      <c r="L130" s="18"/>
      <c r="M130" s="17" t="str">
        <f t="shared" ca="1" si="1"/>
        <v>Completed</v>
      </c>
    </row>
    <row r="131" spans="1:13" ht="36.75" customHeight="1">
      <c r="A131" s="16" t="s">
        <v>264</v>
      </c>
      <c r="B131" s="17" t="s">
        <v>36</v>
      </c>
      <c r="C131" s="17" t="s">
        <v>255</v>
      </c>
      <c r="D131" s="18" t="s">
        <v>265</v>
      </c>
      <c r="E131" s="18" t="s">
        <v>148</v>
      </c>
      <c r="F131" s="19">
        <v>46317</v>
      </c>
      <c r="G131" s="19">
        <v>46325</v>
      </c>
      <c r="H131" s="17" t="s">
        <v>47</v>
      </c>
      <c r="I131" s="20">
        <v>100</v>
      </c>
      <c r="J131" s="18" t="s">
        <v>266</v>
      </c>
      <c r="K131" s="17" t="s">
        <v>96</v>
      </c>
      <c r="L131" s="18"/>
      <c r="M131" s="17" t="str">
        <f t="shared" ref="M131:M194" ca="1" si="2">IF(D131="","",IF(H131="Completed","Completed",IF(H131="Blocked","Blocked",IF(H131="Delayed","Delayed",IF(AND(G131&lt;&gt;"",G131&lt;TODAY(),H131&lt;&gt;"Completed"),"Overdue","On Track")))))</f>
        <v>Completed</v>
      </c>
    </row>
    <row r="132" spans="1:13" ht="36.75" customHeight="1">
      <c r="A132" s="16" t="s">
        <v>267</v>
      </c>
      <c r="B132" s="17" t="s">
        <v>36</v>
      </c>
      <c r="C132" s="17" t="s">
        <v>255</v>
      </c>
      <c r="D132" s="18" t="s">
        <v>268</v>
      </c>
      <c r="E132" s="18" t="s">
        <v>188</v>
      </c>
      <c r="F132" s="19">
        <v>46321</v>
      </c>
      <c r="G132" s="19">
        <v>46325</v>
      </c>
      <c r="H132" s="17" t="s">
        <v>47</v>
      </c>
      <c r="I132" s="20">
        <v>100</v>
      </c>
      <c r="J132" s="18" t="s">
        <v>213</v>
      </c>
      <c r="K132" s="17" t="s">
        <v>96</v>
      </c>
      <c r="L132" s="18"/>
      <c r="M132" s="17" t="str">
        <f t="shared" ca="1" si="2"/>
        <v>Completed</v>
      </c>
    </row>
    <row r="133" spans="1:13" ht="36.75" customHeight="1">
      <c r="A133" s="16" t="s">
        <v>269</v>
      </c>
      <c r="B133" s="17" t="s">
        <v>36</v>
      </c>
      <c r="C133" s="17" t="s">
        <v>255</v>
      </c>
      <c r="D133" s="18" t="s">
        <v>270</v>
      </c>
      <c r="E133" s="18" t="s">
        <v>168</v>
      </c>
      <c r="F133" s="19">
        <v>46317</v>
      </c>
      <c r="G133" s="19">
        <v>46325</v>
      </c>
      <c r="H133" s="17" t="s">
        <v>47</v>
      </c>
      <c r="I133" s="20">
        <v>100</v>
      </c>
      <c r="J133" s="18" t="s">
        <v>271</v>
      </c>
      <c r="K133" s="17" t="s">
        <v>96</v>
      </c>
      <c r="L133" s="18"/>
      <c r="M133" s="17" t="str">
        <f t="shared" ca="1" si="2"/>
        <v>Completed</v>
      </c>
    </row>
    <row r="134" spans="1:13" ht="36.75" customHeight="1">
      <c r="A134" s="16" t="s">
        <v>272</v>
      </c>
      <c r="B134" s="17" t="s">
        <v>36</v>
      </c>
      <c r="C134" s="17" t="s">
        <v>255</v>
      </c>
      <c r="D134" s="18" t="s">
        <v>273</v>
      </c>
      <c r="E134" s="18" t="s">
        <v>148</v>
      </c>
      <c r="F134" s="19">
        <v>46324</v>
      </c>
      <c r="G134" s="19">
        <v>46325</v>
      </c>
      <c r="H134" s="17" t="s">
        <v>47</v>
      </c>
      <c r="I134" s="20">
        <v>100</v>
      </c>
      <c r="J134" s="18" t="s">
        <v>274</v>
      </c>
      <c r="K134" s="17" t="s">
        <v>96</v>
      </c>
      <c r="L134" s="18"/>
      <c r="M134" s="17" t="str">
        <f t="shared" ca="1" si="2"/>
        <v>Completed</v>
      </c>
    </row>
    <row r="135" spans="1:13" ht="21" customHeight="1">
      <c r="A135" s="16"/>
      <c r="B135" s="17"/>
      <c r="C135" s="17"/>
      <c r="D135" s="18"/>
      <c r="E135" s="18"/>
      <c r="F135" s="19"/>
      <c r="G135" s="19"/>
      <c r="H135" s="17"/>
      <c r="I135" s="20"/>
      <c r="J135" s="18"/>
      <c r="K135" s="17"/>
      <c r="L135" s="18"/>
      <c r="M135" s="17" t="str">
        <f t="shared" ca="1" si="2"/>
        <v/>
      </c>
    </row>
    <row r="136" spans="1:13" ht="21" customHeight="1">
      <c r="A136" s="16"/>
      <c r="B136" s="17"/>
      <c r="C136" s="17"/>
      <c r="D136" s="18"/>
      <c r="E136" s="18"/>
      <c r="F136" s="19"/>
      <c r="G136" s="19"/>
      <c r="H136" s="17"/>
      <c r="I136" s="20"/>
      <c r="J136" s="18"/>
      <c r="K136" s="17"/>
      <c r="L136" s="18"/>
      <c r="M136" s="17" t="str">
        <f t="shared" ca="1" si="2"/>
        <v/>
      </c>
    </row>
    <row r="137" spans="1:13" ht="21" customHeight="1">
      <c r="A137" s="16"/>
      <c r="B137" s="17"/>
      <c r="C137" s="17"/>
      <c r="D137" s="18"/>
      <c r="E137" s="18"/>
      <c r="F137" s="19"/>
      <c r="G137" s="19"/>
      <c r="H137" s="17"/>
      <c r="I137" s="20"/>
      <c r="J137" s="18"/>
      <c r="K137" s="17"/>
      <c r="L137" s="18"/>
      <c r="M137" s="17" t="str">
        <f t="shared" ca="1" si="2"/>
        <v/>
      </c>
    </row>
    <row r="138" spans="1:13" ht="21" customHeight="1">
      <c r="A138" s="16"/>
      <c r="B138" s="17"/>
      <c r="C138" s="17"/>
      <c r="D138" s="18"/>
      <c r="E138" s="18"/>
      <c r="F138" s="19"/>
      <c r="G138" s="19"/>
      <c r="H138" s="17"/>
      <c r="I138" s="20"/>
      <c r="J138" s="18"/>
      <c r="K138" s="17"/>
      <c r="L138" s="18"/>
      <c r="M138" s="17" t="str">
        <f t="shared" ca="1" si="2"/>
        <v/>
      </c>
    </row>
    <row r="139" spans="1:13" ht="15" hidden="1" customHeight="1" outlineLevel="1">
      <c r="A139" s="16"/>
      <c r="B139" s="17"/>
      <c r="C139" s="17"/>
      <c r="D139" s="18"/>
      <c r="E139" s="18"/>
      <c r="F139" s="19"/>
      <c r="G139" s="19"/>
      <c r="H139" s="17"/>
      <c r="I139" s="20"/>
      <c r="J139" s="18"/>
      <c r="K139" s="17"/>
      <c r="L139" s="18"/>
      <c r="M139" s="17" t="str">
        <f t="shared" ca="1" si="2"/>
        <v/>
      </c>
    </row>
    <row r="140" spans="1:13" ht="15" hidden="1" customHeight="1" outlineLevel="1">
      <c r="A140" s="16"/>
      <c r="B140" s="17"/>
      <c r="C140" s="17"/>
      <c r="D140" s="18"/>
      <c r="E140" s="18"/>
      <c r="F140" s="19"/>
      <c r="G140" s="19"/>
      <c r="H140" s="17"/>
      <c r="I140" s="20"/>
      <c r="J140" s="18"/>
      <c r="K140" s="17"/>
      <c r="L140" s="18"/>
      <c r="M140" s="17" t="str">
        <f t="shared" ca="1" si="2"/>
        <v/>
      </c>
    </row>
    <row r="141" spans="1:13" ht="15" hidden="1" customHeight="1" outlineLevel="1">
      <c r="A141" s="16"/>
      <c r="B141" s="17"/>
      <c r="C141" s="17"/>
      <c r="D141" s="18"/>
      <c r="E141" s="18"/>
      <c r="F141" s="19"/>
      <c r="G141" s="19"/>
      <c r="H141" s="17"/>
      <c r="I141" s="20"/>
      <c r="J141" s="18"/>
      <c r="K141" s="17"/>
      <c r="L141" s="18"/>
      <c r="M141" s="17" t="str">
        <f t="shared" ca="1" si="2"/>
        <v/>
      </c>
    </row>
    <row r="142" spans="1:13" ht="15" hidden="1" customHeight="1" outlineLevel="1">
      <c r="A142" s="16"/>
      <c r="B142" s="17"/>
      <c r="C142" s="17"/>
      <c r="D142" s="18"/>
      <c r="E142" s="18"/>
      <c r="F142" s="19"/>
      <c r="G142" s="19"/>
      <c r="H142" s="17"/>
      <c r="I142" s="20"/>
      <c r="J142" s="18"/>
      <c r="K142" s="17"/>
      <c r="L142" s="18"/>
      <c r="M142" s="17" t="str">
        <f t="shared" ca="1" si="2"/>
        <v/>
      </c>
    </row>
    <row r="143" spans="1:13" ht="15" hidden="1" customHeight="1" outlineLevel="1">
      <c r="A143" s="16"/>
      <c r="B143" s="17"/>
      <c r="C143" s="17"/>
      <c r="D143" s="18"/>
      <c r="E143" s="18"/>
      <c r="F143" s="19"/>
      <c r="G143" s="19"/>
      <c r="H143" s="17"/>
      <c r="I143" s="20"/>
      <c r="J143" s="18"/>
      <c r="K143" s="17"/>
      <c r="L143" s="18"/>
      <c r="M143" s="17" t="str">
        <f t="shared" ca="1" si="2"/>
        <v/>
      </c>
    </row>
    <row r="144" spans="1:13" ht="15" hidden="1" customHeight="1" outlineLevel="1">
      <c r="A144" s="16"/>
      <c r="B144" s="17"/>
      <c r="C144" s="17"/>
      <c r="D144" s="18"/>
      <c r="E144" s="18"/>
      <c r="F144" s="19"/>
      <c r="G144" s="19"/>
      <c r="H144" s="17"/>
      <c r="I144" s="20"/>
      <c r="J144" s="18"/>
      <c r="K144" s="17"/>
      <c r="L144" s="18"/>
      <c r="M144" s="17" t="str">
        <f t="shared" ca="1" si="2"/>
        <v/>
      </c>
    </row>
    <row r="145" spans="1:13" ht="15" hidden="1" customHeight="1" outlineLevel="1">
      <c r="A145" s="16"/>
      <c r="B145" s="17"/>
      <c r="C145" s="17"/>
      <c r="D145" s="18"/>
      <c r="E145" s="18"/>
      <c r="F145" s="19"/>
      <c r="G145" s="19"/>
      <c r="H145" s="17"/>
      <c r="I145" s="20"/>
      <c r="J145" s="18"/>
      <c r="K145" s="17"/>
      <c r="L145" s="18"/>
      <c r="M145" s="17" t="str">
        <f t="shared" ca="1" si="2"/>
        <v/>
      </c>
    </row>
    <row r="146" spans="1:13" ht="15" hidden="1" customHeight="1" outlineLevel="1">
      <c r="A146" s="16"/>
      <c r="B146" s="17"/>
      <c r="C146" s="17"/>
      <c r="D146" s="18"/>
      <c r="E146" s="18"/>
      <c r="F146" s="19"/>
      <c r="G146" s="19"/>
      <c r="H146" s="17"/>
      <c r="I146" s="20"/>
      <c r="J146" s="18"/>
      <c r="K146" s="17"/>
      <c r="L146" s="18"/>
      <c r="M146" s="17" t="str">
        <f t="shared" ca="1" si="2"/>
        <v/>
      </c>
    </row>
    <row r="147" spans="1:13" ht="15" hidden="1" customHeight="1" outlineLevel="1">
      <c r="A147" s="16"/>
      <c r="B147" s="17"/>
      <c r="C147" s="17"/>
      <c r="D147" s="18"/>
      <c r="E147" s="18"/>
      <c r="F147" s="19"/>
      <c r="G147" s="19"/>
      <c r="H147" s="17"/>
      <c r="I147" s="20"/>
      <c r="J147" s="18"/>
      <c r="K147" s="17"/>
      <c r="L147" s="18"/>
      <c r="M147" s="17" t="str">
        <f t="shared" ca="1" si="2"/>
        <v/>
      </c>
    </row>
    <row r="148" spans="1:13" ht="15" hidden="1" customHeight="1" outlineLevel="1">
      <c r="A148" s="16"/>
      <c r="B148" s="17"/>
      <c r="C148" s="17"/>
      <c r="D148" s="18"/>
      <c r="E148" s="18"/>
      <c r="F148" s="19"/>
      <c r="G148" s="19"/>
      <c r="H148" s="17"/>
      <c r="I148" s="20"/>
      <c r="J148" s="18"/>
      <c r="K148" s="17"/>
      <c r="L148" s="18"/>
      <c r="M148" s="17" t="str">
        <f t="shared" ca="1" si="2"/>
        <v/>
      </c>
    </row>
    <row r="149" spans="1:13" ht="15" hidden="1" customHeight="1" outlineLevel="1">
      <c r="A149" s="16"/>
      <c r="B149" s="17"/>
      <c r="C149" s="17"/>
      <c r="D149" s="18"/>
      <c r="E149" s="18"/>
      <c r="F149" s="19"/>
      <c r="G149" s="19"/>
      <c r="H149" s="17"/>
      <c r="I149" s="20"/>
      <c r="J149" s="18"/>
      <c r="K149" s="17"/>
      <c r="L149" s="18"/>
      <c r="M149" s="17" t="str">
        <f t="shared" ca="1" si="2"/>
        <v/>
      </c>
    </row>
    <row r="150" spans="1:13" ht="15" hidden="1" customHeight="1" outlineLevel="1">
      <c r="A150" s="16"/>
      <c r="B150" s="17"/>
      <c r="C150" s="17"/>
      <c r="D150" s="18"/>
      <c r="E150" s="18"/>
      <c r="F150" s="19"/>
      <c r="G150" s="19"/>
      <c r="H150" s="17"/>
      <c r="I150" s="20"/>
      <c r="J150" s="18"/>
      <c r="K150" s="17"/>
      <c r="L150" s="18"/>
      <c r="M150" s="17" t="str">
        <f t="shared" ca="1" si="2"/>
        <v/>
      </c>
    </row>
    <row r="151" spans="1:13" ht="15" hidden="1" customHeight="1" outlineLevel="1">
      <c r="A151" s="16"/>
      <c r="B151" s="17"/>
      <c r="C151" s="17"/>
      <c r="D151" s="18"/>
      <c r="E151" s="18"/>
      <c r="F151" s="19"/>
      <c r="G151" s="19"/>
      <c r="H151" s="17"/>
      <c r="I151" s="20"/>
      <c r="J151" s="18"/>
      <c r="K151" s="17"/>
      <c r="L151" s="18"/>
      <c r="M151" s="17" t="str">
        <f t="shared" ca="1" si="2"/>
        <v/>
      </c>
    </row>
    <row r="152" spans="1:13" ht="15" hidden="1" customHeight="1" outlineLevel="1">
      <c r="A152" s="16"/>
      <c r="B152" s="17"/>
      <c r="C152" s="17"/>
      <c r="D152" s="18"/>
      <c r="E152" s="18"/>
      <c r="F152" s="19"/>
      <c r="G152" s="19"/>
      <c r="H152" s="17"/>
      <c r="I152" s="20"/>
      <c r="J152" s="18"/>
      <c r="K152" s="17"/>
      <c r="L152" s="18"/>
      <c r="M152" s="17" t="str">
        <f t="shared" ca="1" si="2"/>
        <v/>
      </c>
    </row>
    <row r="153" spans="1:13" ht="15" hidden="1" customHeight="1" outlineLevel="1">
      <c r="A153" s="16"/>
      <c r="B153" s="17"/>
      <c r="C153" s="17"/>
      <c r="D153" s="18"/>
      <c r="E153" s="18"/>
      <c r="F153" s="19"/>
      <c r="G153" s="19"/>
      <c r="H153" s="17"/>
      <c r="I153" s="20"/>
      <c r="J153" s="18"/>
      <c r="K153" s="17"/>
      <c r="L153" s="18"/>
      <c r="M153" s="17" t="str">
        <f t="shared" ca="1" si="2"/>
        <v/>
      </c>
    </row>
    <row r="154" spans="1:13" ht="15" hidden="1" customHeight="1" outlineLevel="1">
      <c r="A154" s="16"/>
      <c r="B154" s="17"/>
      <c r="C154" s="17"/>
      <c r="D154" s="18"/>
      <c r="E154" s="18"/>
      <c r="F154" s="19"/>
      <c r="G154" s="19"/>
      <c r="H154" s="17"/>
      <c r="I154" s="20"/>
      <c r="J154" s="18"/>
      <c r="K154" s="17"/>
      <c r="L154" s="18"/>
      <c r="M154" s="17" t="str">
        <f t="shared" ca="1" si="2"/>
        <v/>
      </c>
    </row>
    <row r="155" spans="1:13" ht="15" hidden="1" customHeight="1" outlineLevel="1">
      <c r="A155" s="16"/>
      <c r="B155" s="17"/>
      <c r="C155" s="17"/>
      <c r="D155" s="18"/>
      <c r="E155" s="18"/>
      <c r="F155" s="19"/>
      <c r="G155" s="19"/>
      <c r="H155" s="17"/>
      <c r="I155" s="20"/>
      <c r="J155" s="18"/>
      <c r="K155" s="17"/>
      <c r="L155" s="18"/>
      <c r="M155" s="17" t="str">
        <f t="shared" ca="1" si="2"/>
        <v/>
      </c>
    </row>
    <row r="156" spans="1:13" ht="15" hidden="1" customHeight="1" outlineLevel="1">
      <c r="A156" s="16"/>
      <c r="B156" s="17"/>
      <c r="C156" s="17"/>
      <c r="D156" s="18"/>
      <c r="E156" s="18"/>
      <c r="F156" s="19"/>
      <c r="G156" s="19"/>
      <c r="H156" s="17"/>
      <c r="I156" s="20"/>
      <c r="J156" s="18"/>
      <c r="K156" s="17"/>
      <c r="L156" s="18"/>
      <c r="M156" s="17" t="str">
        <f t="shared" ca="1" si="2"/>
        <v/>
      </c>
    </row>
    <row r="157" spans="1:13" ht="15" hidden="1" customHeight="1" outlineLevel="1">
      <c r="A157" s="16"/>
      <c r="B157" s="17"/>
      <c r="C157" s="17"/>
      <c r="D157" s="18"/>
      <c r="E157" s="18"/>
      <c r="F157" s="19"/>
      <c r="G157" s="19"/>
      <c r="H157" s="17"/>
      <c r="I157" s="20"/>
      <c r="J157" s="18"/>
      <c r="K157" s="17"/>
      <c r="L157" s="18"/>
      <c r="M157" s="17" t="str">
        <f t="shared" ca="1" si="2"/>
        <v/>
      </c>
    </row>
    <row r="158" spans="1:13" ht="15" hidden="1" customHeight="1" outlineLevel="1">
      <c r="A158" s="16"/>
      <c r="B158" s="17"/>
      <c r="C158" s="17"/>
      <c r="D158" s="18"/>
      <c r="E158" s="18"/>
      <c r="F158" s="19"/>
      <c r="G158" s="19"/>
      <c r="H158" s="17"/>
      <c r="I158" s="20"/>
      <c r="J158" s="18"/>
      <c r="K158" s="17"/>
      <c r="L158" s="18"/>
      <c r="M158" s="17" t="str">
        <f t="shared" ca="1" si="2"/>
        <v/>
      </c>
    </row>
    <row r="159" spans="1:13" ht="15" hidden="1" customHeight="1" outlineLevel="1">
      <c r="A159" s="16"/>
      <c r="B159" s="17"/>
      <c r="C159" s="17"/>
      <c r="D159" s="18"/>
      <c r="E159" s="18"/>
      <c r="F159" s="19"/>
      <c r="G159" s="19"/>
      <c r="H159" s="17"/>
      <c r="I159" s="20"/>
      <c r="J159" s="18"/>
      <c r="K159" s="17"/>
      <c r="L159" s="18"/>
      <c r="M159" s="17" t="str">
        <f t="shared" ca="1" si="2"/>
        <v/>
      </c>
    </row>
    <row r="160" spans="1:13" ht="15" hidden="1" customHeight="1" outlineLevel="1">
      <c r="A160" s="16"/>
      <c r="B160" s="17"/>
      <c r="C160" s="17"/>
      <c r="D160" s="18"/>
      <c r="E160" s="18"/>
      <c r="F160" s="19"/>
      <c r="G160" s="19"/>
      <c r="H160" s="17"/>
      <c r="I160" s="20"/>
      <c r="J160" s="18"/>
      <c r="K160" s="17"/>
      <c r="L160" s="18"/>
      <c r="M160" s="17" t="str">
        <f t="shared" ca="1" si="2"/>
        <v/>
      </c>
    </row>
    <row r="161" spans="1:13" ht="15" hidden="1" customHeight="1" outlineLevel="1">
      <c r="A161" s="16"/>
      <c r="B161" s="17"/>
      <c r="C161" s="17"/>
      <c r="D161" s="18"/>
      <c r="E161" s="18"/>
      <c r="F161" s="19"/>
      <c r="G161" s="19"/>
      <c r="H161" s="17"/>
      <c r="I161" s="20"/>
      <c r="J161" s="18"/>
      <c r="K161" s="17"/>
      <c r="L161" s="18"/>
      <c r="M161" s="17" t="str">
        <f t="shared" ca="1" si="2"/>
        <v/>
      </c>
    </row>
    <row r="162" spans="1:13" ht="15" hidden="1" customHeight="1" outlineLevel="1">
      <c r="A162" s="16"/>
      <c r="B162" s="17"/>
      <c r="C162" s="17"/>
      <c r="D162" s="18"/>
      <c r="E162" s="18"/>
      <c r="F162" s="19"/>
      <c r="G162" s="19"/>
      <c r="H162" s="17"/>
      <c r="I162" s="20"/>
      <c r="J162" s="18"/>
      <c r="K162" s="17"/>
      <c r="L162" s="18"/>
      <c r="M162" s="17" t="str">
        <f t="shared" ca="1" si="2"/>
        <v/>
      </c>
    </row>
    <row r="163" spans="1:13" ht="15" hidden="1" customHeight="1" outlineLevel="1">
      <c r="A163" s="16"/>
      <c r="B163" s="17"/>
      <c r="C163" s="17"/>
      <c r="D163" s="18"/>
      <c r="E163" s="18"/>
      <c r="F163" s="19"/>
      <c r="G163" s="19"/>
      <c r="H163" s="17"/>
      <c r="I163" s="20"/>
      <c r="J163" s="18"/>
      <c r="K163" s="17"/>
      <c r="L163" s="18"/>
      <c r="M163" s="17" t="str">
        <f t="shared" ca="1" si="2"/>
        <v/>
      </c>
    </row>
    <row r="164" spans="1:13" ht="15" hidden="1" customHeight="1" outlineLevel="1">
      <c r="A164" s="16"/>
      <c r="B164" s="17"/>
      <c r="C164" s="17"/>
      <c r="D164" s="18"/>
      <c r="E164" s="18"/>
      <c r="F164" s="19"/>
      <c r="G164" s="19"/>
      <c r="H164" s="17"/>
      <c r="I164" s="20"/>
      <c r="J164" s="18"/>
      <c r="K164" s="17"/>
      <c r="L164" s="18"/>
      <c r="M164" s="17" t="str">
        <f t="shared" ca="1" si="2"/>
        <v/>
      </c>
    </row>
    <row r="165" spans="1:13" ht="15" hidden="1" customHeight="1" outlineLevel="1">
      <c r="A165" s="16"/>
      <c r="B165" s="17"/>
      <c r="C165" s="17"/>
      <c r="D165" s="18"/>
      <c r="E165" s="18"/>
      <c r="F165" s="19"/>
      <c r="G165" s="19"/>
      <c r="H165" s="17"/>
      <c r="I165" s="20"/>
      <c r="J165" s="18"/>
      <c r="K165" s="17"/>
      <c r="L165" s="18"/>
      <c r="M165" s="17" t="str">
        <f t="shared" ca="1" si="2"/>
        <v/>
      </c>
    </row>
    <row r="166" spans="1:13" ht="15" hidden="1" customHeight="1" outlineLevel="1">
      <c r="A166" s="16"/>
      <c r="B166" s="17"/>
      <c r="C166" s="17"/>
      <c r="D166" s="18"/>
      <c r="E166" s="18"/>
      <c r="F166" s="19"/>
      <c r="G166" s="19"/>
      <c r="H166" s="17"/>
      <c r="I166" s="20"/>
      <c r="J166" s="18"/>
      <c r="K166" s="17"/>
      <c r="L166" s="18"/>
      <c r="M166" s="17" t="str">
        <f t="shared" ca="1" si="2"/>
        <v/>
      </c>
    </row>
    <row r="167" spans="1:13" ht="15" hidden="1" customHeight="1" outlineLevel="1">
      <c r="A167" s="16"/>
      <c r="B167" s="17"/>
      <c r="C167" s="17"/>
      <c r="D167" s="18"/>
      <c r="E167" s="18"/>
      <c r="F167" s="19"/>
      <c r="G167" s="19"/>
      <c r="H167" s="17"/>
      <c r="I167" s="20"/>
      <c r="J167" s="18"/>
      <c r="K167" s="17"/>
      <c r="L167" s="18"/>
      <c r="M167" s="17" t="str">
        <f t="shared" ca="1" si="2"/>
        <v/>
      </c>
    </row>
    <row r="168" spans="1:13" ht="15" hidden="1" customHeight="1" outlineLevel="1">
      <c r="A168" s="16"/>
      <c r="B168" s="17"/>
      <c r="C168" s="17"/>
      <c r="D168" s="18"/>
      <c r="E168" s="18"/>
      <c r="F168" s="19"/>
      <c r="G168" s="19"/>
      <c r="H168" s="17"/>
      <c r="I168" s="20"/>
      <c r="J168" s="18"/>
      <c r="K168" s="17"/>
      <c r="L168" s="18"/>
      <c r="M168" s="17" t="str">
        <f t="shared" ca="1" si="2"/>
        <v/>
      </c>
    </row>
    <row r="169" spans="1:13" ht="15" hidden="1" customHeight="1" outlineLevel="1">
      <c r="A169" s="16"/>
      <c r="B169" s="17"/>
      <c r="C169" s="17"/>
      <c r="D169" s="18"/>
      <c r="E169" s="18"/>
      <c r="F169" s="19"/>
      <c r="G169" s="19"/>
      <c r="H169" s="17"/>
      <c r="I169" s="20"/>
      <c r="J169" s="18"/>
      <c r="K169" s="17"/>
      <c r="L169" s="18"/>
      <c r="M169" s="17" t="str">
        <f t="shared" ca="1" si="2"/>
        <v/>
      </c>
    </row>
    <row r="170" spans="1:13" ht="15" hidden="1" customHeight="1" outlineLevel="1">
      <c r="A170" s="16"/>
      <c r="B170" s="17"/>
      <c r="C170" s="17"/>
      <c r="D170" s="18"/>
      <c r="E170" s="18"/>
      <c r="F170" s="19"/>
      <c r="G170" s="19"/>
      <c r="H170" s="17"/>
      <c r="I170" s="20"/>
      <c r="J170" s="18"/>
      <c r="K170" s="17"/>
      <c r="L170" s="18"/>
      <c r="M170" s="17" t="str">
        <f t="shared" ca="1" si="2"/>
        <v/>
      </c>
    </row>
    <row r="171" spans="1:13" ht="15" hidden="1" customHeight="1" outlineLevel="1">
      <c r="A171" s="16"/>
      <c r="B171" s="17"/>
      <c r="C171" s="17"/>
      <c r="D171" s="18"/>
      <c r="E171" s="18"/>
      <c r="F171" s="19"/>
      <c r="G171" s="19"/>
      <c r="H171" s="17"/>
      <c r="I171" s="20"/>
      <c r="J171" s="18"/>
      <c r="K171" s="17"/>
      <c r="L171" s="18"/>
      <c r="M171" s="17" t="str">
        <f t="shared" ca="1" si="2"/>
        <v/>
      </c>
    </row>
    <row r="172" spans="1:13" ht="15" hidden="1" customHeight="1" outlineLevel="1">
      <c r="A172" s="16"/>
      <c r="B172" s="17"/>
      <c r="C172" s="17"/>
      <c r="D172" s="18"/>
      <c r="E172" s="18"/>
      <c r="F172" s="19"/>
      <c r="G172" s="19"/>
      <c r="H172" s="17"/>
      <c r="I172" s="20"/>
      <c r="J172" s="18"/>
      <c r="K172" s="17"/>
      <c r="L172" s="18"/>
      <c r="M172" s="17" t="str">
        <f t="shared" ca="1" si="2"/>
        <v/>
      </c>
    </row>
    <row r="173" spans="1:13" ht="15" hidden="1" customHeight="1" outlineLevel="1">
      <c r="A173" s="16"/>
      <c r="B173" s="17"/>
      <c r="C173" s="17"/>
      <c r="D173" s="18"/>
      <c r="E173" s="18"/>
      <c r="F173" s="19"/>
      <c r="G173" s="19"/>
      <c r="H173" s="17"/>
      <c r="I173" s="20"/>
      <c r="J173" s="18"/>
      <c r="K173" s="17"/>
      <c r="L173" s="18"/>
      <c r="M173" s="17" t="str">
        <f t="shared" ca="1" si="2"/>
        <v/>
      </c>
    </row>
    <row r="174" spans="1:13" ht="15" hidden="1" customHeight="1" outlineLevel="1">
      <c r="A174" s="16"/>
      <c r="B174" s="17"/>
      <c r="C174" s="17"/>
      <c r="D174" s="18"/>
      <c r="E174" s="18"/>
      <c r="F174" s="19"/>
      <c r="G174" s="19"/>
      <c r="H174" s="17"/>
      <c r="I174" s="20"/>
      <c r="J174" s="18"/>
      <c r="K174" s="17"/>
      <c r="L174" s="18"/>
      <c r="M174" s="17" t="str">
        <f t="shared" ca="1" si="2"/>
        <v/>
      </c>
    </row>
    <row r="175" spans="1:13" ht="15" hidden="1" customHeight="1" outlineLevel="1">
      <c r="A175" s="16"/>
      <c r="B175" s="17"/>
      <c r="C175" s="17"/>
      <c r="D175" s="18"/>
      <c r="E175" s="18"/>
      <c r="F175" s="19"/>
      <c r="G175" s="19"/>
      <c r="H175" s="17"/>
      <c r="I175" s="20"/>
      <c r="J175" s="18"/>
      <c r="K175" s="17"/>
      <c r="L175" s="18"/>
      <c r="M175" s="17" t="str">
        <f t="shared" ca="1" si="2"/>
        <v/>
      </c>
    </row>
    <row r="176" spans="1:13" ht="15" hidden="1" customHeight="1" outlineLevel="1">
      <c r="A176" s="16"/>
      <c r="B176" s="17"/>
      <c r="C176" s="17"/>
      <c r="D176" s="18"/>
      <c r="E176" s="18"/>
      <c r="F176" s="19"/>
      <c r="G176" s="19"/>
      <c r="H176" s="17"/>
      <c r="I176" s="20"/>
      <c r="J176" s="18"/>
      <c r="K176" s="17"/>
      <c r="L176" s="18"/>
      <c r="M176" s="17" t="str">
        <f t="shared" ca="1" si="2"/>
        <v/>
      </c>
    </row>
    <row r="177" spans="1:13" ht="15" hidden="1" customHeight="1" outlineLevel="1">
      <c r="A177" s="16"/>
      <c r="B177" s="17"/>
      <c r="C177" s="17"/>
      <c r="D177" s="18"/>
      <c r="E177" s="18"/>
      <c r="F177" s="19"/>
      <c r="G177" s="19"/>
      <c r="H177" s="17"/>
      <c r="I177" s="20"/>
      <c r="J177" s="18"/>
      <c r="K177" s="17"/>
      <c r="L177" s="18"/>
      <c r="M177" s="17" t="str">
        <f t="shared" ca="1" si="2"/>
        <v/>
      </c>
    </row>
    <row r="178" spans="1:13" ht="15" hidden="1" customHeight="1" outlineLevel="1">
      <c r="A178" s="16"/>
      <c r="B178" s="17"/>
      <c r="C178" s="17"/>
      <c r="D178" s="18"/>
      <c r="E178" s="18"/>
      <c r="F178" s="19"/>
      <c r="G178" s="19"/>
      <c r="H178" s="17"/>
      <c r="I178" s="20"/>
      <c r="J178" s="18"/>
      <c r="K178" s="17"/>
      <c r="L178" s="18"/>
      <c r="M178" s="17" t="str">
        <f t="shared" ca="1" si="2"/>
        <v/>
      </c>
    </row>
    <row r="179" spans="1:13" ht="15" hidden="1" customHeight="1" outlineLevel="1">
      <c r="A179" s="16"/>
      <c r="B179" s="17"/>
      <c r="C179" s="17"/>
      <c r="D179" s="18"/>
      <c r="E179" s="18"/>
      <c r="F179" s="19"/>
      <c r="G179" s="19"/>
      <c r="H179" s="17"/>
      <c r="I179" s="20"/>
      <c r="J179" s="18"/>
      <c r="K179" s="17"/>
      <c r="L179" s="18"/>
      <c r="M179" s="17" t="str">
        <f t="shared" ca="1" si="2"/>
        <v/>
      </c>
    </row>
    <row r="180" spans="1:13" ht="15" hidden="1" customHeight="1" outlineLevel="1">
      <c r="A180" s="16"/>
      <c r="B180" s="17"/>
      <c r="C180" s="17"/>
      <c r="D180" s="18"/>
      <c r="E180" s="18"/>
      <c r="F180" s="19"/>
      <c r="G180" s="19"/>
      <c r="H180" s="17"/>
      <c r="I180" s="20"/>
      <c r="J180" s="18"/>
      <c r="K180" s="17"/>
      <c r="L180" s="18"/>
      <c r="M180" s="17" t="str">
        <f t="shared" ca="1" si="2"/>
        <v/>
      </c>
    </row>
    <row r="181" spans="1:13" ht="15" hidden="1" customHeight="1" outlineLevel="1">
      <c r="A181" s="16"/>
      <c r="B181" s="17"/>
      <c r="C181" s="17"/>
      <c r="D181" s="18"/>
      <c r="E181" s="18"/>
      <c r="F181" s="19"/>
      <c r="G181" s="19"/>
      <c r="H181" s="17"/>
      <c r="I181" s="20"/>
      <c r="J181" s="18"/>
      <c r="K181" s="17"/>
      <c r="L181" s="18"/>
      <c r="M181" s="17" t="str">
        <f t="shared" ca="1" si="2"/>
        <v/>
      </c>
    </row>
    <row r="182" spans="1:13" ht="15" hidden="1" customHeight="1" outlineLevel="1">
      <c r="A182" s="16"/>
      <c r="B182" s="17"/>
      <c r="C182" s="17"/>
      <c r="D182" s="18"/>
      <c r="E182" s="18"/>
      <c r="F182" s="19"/>
      <c r="G182" s="19"/>
      <c r="H182" s="17"/>
      <c r="I182" s="20"/>
      <c r="J182" s="18"/>
      <c r="K182" s="17"/>
      <c r="L182" s="18"/>
      <c r="M182" s="17" t="str">
        <f t="shared" ca="1" si="2"/>
        <v/>
      </c>
    </row>
    <row r="183" spans="1:13" ht="15" hidden="1" customHeight="1" outlineLevel="1">
      <c r="A183" s="16"/>
      <c r="B183" s="17"/>
      <c r="C183" s="17"/>
      <c r="D183" s="18"/>
      <c r="E183" s="18"/>
      <c r="F183" s="19"/>
      <c r="G183" s="19"/>
      <c r="H183" s="17"/>
      <c r="I183" s="20"/>
      <c r="J183" s="18"/>
      <c r="K183" s="17"/>
      <c r="L183" s="18"/>
      <c r="M183" s="17" t="str">
        <f t="shared" ca="1" si="2"/>
        <v/>
      </c>
    </row>
    <row r="184" spans="1:13" ht="15" hidden="1" customHeight="1" outlineLevel="1">
      <c r="A184" s="16"/>
      <c r="B184" s="17"/>
      <c r="C184" s="17"/>
      <c r="D184" s="18"/>
      <c r="E184" s="18"/>
      <c r="F184" s="19"/>
      <c r="G184" s="19"/>
      <c r="H184" s="17"/>
      <c r="I184" s="20"/>
      <c r="J184" s="18"/>
      <c r="K184" s="17"/>
      <c r="L184" s="18"/>
      <c r="M184" s="17" t="str">
        <f t="shared" ca="1" si="2"/>
        <v/>
      </c>
    </row>
    <row r="185" spans="1:13" ht="15" hidden="1" customHeight="1" outlineLevel="1">
      <c r="A185" s="16"/>
      <c r="B185" s="17"/>
      <c r="C185" s="17"/>
      <c r="D185" s="18"/>
      <c r="E185" s="18"/>
      <c r="F185" s="19"/>
      <c r="G185" s="19"/>
      <c r="H185" s="17"/>
      <c r="I185" s="20"/>
      <c r="J185" s="18"/>
      <c r="K185" s="17"/>
      <c r="L185" s="18"/>
      <c r="M185" s="17" t="str">
        <f t="shared" ca="1" si="2"/>
        <v/>
      </c>
    </row>
    <row r="186" spans="1:13" ht="15" hidden="1" customHeight="1" outlineLevel="1">
      <c r="A186" s="16"/>
      <c r="B186" s="17"/>
      <c r="C186" s="17"/>
      <c r="D186" s="18"/>
      <c r="E186" s="18"/>
      <c r="F186" s="19"/>
      <c r="G186" s="19"/>
      <c r="H186" s="17"/>
      <c r="I186" s="20"/>
      <c r="J186" s="18"/>
      <c r="K186" s="17"/>
      <c r="L186" s="18"/>
      <c r="M186" s="17" t="str">
        <f t="shared" ca="1" si="2"/>
        <v/>
      </c>
    </row>
    <row r="187" spans="1:13" ht="15" hidden="1" customHeight="1" outlineLevel="1">
      <c r="A187" s="16"/>
      <c r="B187" s="17"/>
      <c r="C187" s="17"/>
      <c r="D187" s="18"/>
      <c r="E187" s="18"/>
      <c r="F187" s="19"/>
      <c r="G187" s="19"/>
      <c r="H187" s="17"/>
      <c r="I187" s="20"/>
      <c r="J187" s="18"/>
      <c r="K187" s="17"/>
      <c r="L187" s="18"/>
      <c r="M187" s="17" t="str">
        <f t="shared" ca="1" si="2"/>
        <v/>
      </c>
    </row>
    <row r="188" spans="1:13" ht="15" hidden="1" customHeight="1" outlineLevel="1">
      <c r="A188" s="16"/>
      <c r="B188" s="17"/>
      <c r="C188" s="17"/>
      <c r="D188" s="18"/>
      <c r="E188" s="18"/>
      <c r="F188" s="19"/>
      <c r="G188" s="19"/>
      <c r="H188" s="17"/>
      <c r="I188" s="20"/>
      <c r="J188" s="18"/>
      <c r="K188" s="17"/>
      <c r="L188" s="18"/>
      <c r="M188" s="17" t="str">
        <f t="shared" ca="1" si="2"/>
        <v/>
      </c>
    </row>
    <row r="189" spans="1:13" ht="15" hidden="1" customHeight="1" outlineLevel="1">
      <c r="A189" s="16"/>
      <c r="B189" s="17"/>
      <c r="C189" s="17"/>
      <c r="D189" s="18"/>
      <c r="E189" s="18"/>
      <c r="F189" s="19"/>
      <c r="G189" s="19"/>
      <c r="H189" s="17"/>
      <c r="I189" s="20"/>
      <c r="J189" s="18"/>
      <c r="K189" s="17"/>
      <c r="L189" s="18"/>
      <c r="M189" s="17" t="str">
        <f t="shared" ca="1" si="2"/>
        <v/>
      </c>
    </row>
    <row r="190" spans="1:13" ht="15" hidden="1" customHeight="1" outlineLevel="1">
      <c r="A190" s="16"/>
      <c r="B190" s="17"/>
      <c r="C190" s="17"/>
      <c r="D190" s="18"/>
      <c r="E190" s="18"/>
      <c r="F190" s="19"/>
      <c r="G190" s="19"/>
      <c r="H190" s="17"/>
      <c r="I190" s="20"/>
      <c r="J190" s="18"/>
      <c r="K190" s="17"/>
      <c r="L190" s="18"/>
      <c r="M190" s="17" t="str">
        <f t="shared" ca="1" si="2"/>
        <v/>
      </c>
    </row>
    <row r="191" spans="1:13" ht="15" hidden="1" customHeight="1" outlineLevel="1">
      <c r="A191" s="16"/>
      <c r="B191" s="17"/>
      <c r="C191" s="17"/>
      <c r="D191" s="18"/>
      <c r="E191" s="18"/>
      <c r="F191" s="19"/>
      <c r="G191" s="19"/>
      <c r="H191" s="17"/>
      <c r="I191" s="20"/>
      <c r="J191" s="18"/>
      <c r="K191" s="17"/>
      <c r="L191" s="18"/>
      <c r="M191" s="17" t="str">
        <f t="shared" ca="1" si="2"/>
        <v/>
      </c>
    </row>
    <row r="192" spans="1:13" ht="15" hidden="1" customHeight="1" outlineLevel="1">
      <c r="A192" s="16"/>
      <c r="B192" s="17"/>
      <c r="C192" s="17"/>
      <c r="D192" s="18"/>
      <c r="E192" s="18"/>
      <c r="F192" s="19"/>
      <c r="G192" s="19"/>
      <c r="H192" s="17"/>
      <c r="I192" s="20"/>
      <c r="J192" s="18"/>
      <c r="K192" s="17"/>
      <c r="L192" s="18"/>
      <c r="M192" s="17" t="str">
        <f t="shared" ca="1" si="2"/>
        <v/>
      </c>
    </row>
    <row r="193" spans="1:13" ht="15" hidden="1" customHeight="1" outlineLevel="1">
      <c r="A193" s="16"/>
      <c r="B193" s="17"/>
      <c r="C193" s="17"/>
      <c r="D193" s="18"/>
      <c r="E193" s="18"/>
      <c r="F193" s="19"/>
      <c r="G193" s="19"/>
      <c r="H193" s="17"/>
      <c r="I193" s="20"/>
      <c r="J193" s="18"/>
      <c r="K193" s="17"/>
      <c r="L193" s="18"/>
      <c r="M193" s="17" t="str">
        <f t="shared" ca="1" si="2"/>
        <v/>
      </c>
    </row>
    <row r="194" spans="1:13" ht="15" hidden="1" customHeight="1" outlineLevel="1">
      <c r="A194" s="16"/>
      <c r="B194" s="17"/>
      <c r="C194" s="17"/>
      <c r="D194" s="18"/>
      <c r="E194" s="18"/>
      <c r="F194" s="19"/>
      <c r="G194" s="19"/>
      <c r="H194" s="17"/>
      <c r="I194" s="20"/>
      <c r="J194" s="18"/>
      <c r="K194" s="17"/>
      <c r="L194" s="18"/>
      <c r="M194" s="17" t="str">
        <f t="shared" ca="1" si="2"/>
        <v/>
      </c>
    </row>
    <row r="195" spans="1:13" ht="15" hidden="1" customHeight="1" outlineLevel="1">
      <c r="A195" s="16"/>
      <c r="B195" s="17"/>
      <c r="C195" s="17"/>
      <c r="D195" s="18"/>
      <c r="E195" s="18"/>
      <c r="F195" s="19"/>
      <c r="G195" s="19"/>
      <c r="H195" s="17"/>
      <c r="I195" s="20"/>
      <c r="J195" s="18"/>
      <c r="K195" s="17"/>
      <c r="L195" s="18"/>
      <c r="M195" s="17" t="str">
        <f t="shared" ref="M195:M216" ca="1" si="3">IF(D195="","",IF(H195="Completed","Completed",IF(H195="Blocked","Blocked",IF(H195="Delayed","Delayed",IF(AND(G195&lt;&gt;"",G195&lt;TODAY(),H195&lt;&gt;"Completed"),"Overdue","On Track")))))</f>
        <v/>
      </c>
    </row>
    <row r="196" spans="1:13" ht="15" hidden="1" customHeight="1" outlineLevel="1">
      <c r="A196" s="16"/>
      <c r="B196" s="17"/>
      <c r="C196" s="17"/>
      <c r="D196" s="18"/>
      <c r="E196" s="18"/>
      <c r="F196" s="19"/>
      <c r="G196" s="19"/>
      <c r="H196" s="17"/>
      <c r="I196" s="20"/>
      <c r="J196" s="18"/>
      <c r="K196" s="17"/>
      <c r="L196" s="18"/>
      <c r="M196" s="17" t="str">
        <f t="shared" ca="1" si="3"/>
        <v/>
      </c>
    </row>
    <row r="197" spans="1:13" ht="15" hidden="1" customHeight="1" outlineLevel="1">
      <c r="A197" s="16"/>
      <c r="B197" s="17"/>
      <c r="C197" s="17"/>
      <c r="D197" s="18"/>
      <c r="E197" s="18"/>
      <c r="F197" s="19"/>
      <c r="G197" s="19"/>
      <c r="H197" s="17"/>
      <c r="I197" s="20"/>
      <c r="J197" s="18"/>
      <c r="K197" s="17"/>
      <c r="L197" s="18"/>
      <c r="M197" s="17" t="str">
        <f t="shared" ca="1" si="3"/>
        <v/>
      </c>
    </row>
    <row r="198" spans="1:13" ht="15" hidden="1" customHeight="1" outlineLevel="1">
      <c r="A198" s="16"/>
      <c r="B198" s="17"/>
      <c r="C198" s="17"/>
      <c r="D198" s="18"/>
      <c r="E198" s="18"/>
      <c r="F198" s="19"/>
      <c r="G198" s="19"/>
      <c r="H198" s="17"/>
      <c r="I198" s="20"/>
      <c r="J198" s="18"/>
      <c r="K198" s="17"/>
      <c r="L198" s="18"/>
      <c r="M198" s="17" t="str">
        <f t="shared" ca="1" si="3"/>
        <v/>
      </c>
    </row>
    <row r="199" spans="1:13" ht="15" hidden="1" customHeight="1" outlineLevel="1">
      <c r="A199" s="16"/>
      <c r="B199" s="17"/>
      <c r="C199" s="17"/>
      <c r="D199" s="18"/>
      <c r="E199" s="18"/>
      <c r="F199" s="19"/>
      <c r="G199" s="19"/>
      <c r="H199" s="17"/>
      <c r="I199" s="20"/>
      <c r="J199" s="18"/>
      <c r="K199" s="17"/>
      <c r="L199" s="18"/>
      <c r="M199" s="17" t="str">
        <f t="shared" ca="1" si="3"/>
        <v/>
      </c>
    </row>
    <row r="200" spans="1:13" ht="15" hidden="1" customHeight="1" outlineLevel="1">
      <c r="A200" s="16"/>
      <c r="B200" s="17"/>
      <c r="C200" s="17"/>
      <c r="D200" s="18"/>
      <c r="E200" s="18"/>
      <c r="F200" s="19"/>
      <c r="G200" s="19"/>
      <c r="H200" s="17"/>
      <c r="I200" s="20"/>
      <c r="J200" s="18"/>
      <c r="K200" s="17"/>
      <c r="L200" s="18"/>
      <c r="M200" s="17" t="str">
        <f t="shared" ca="1" si="3"/>
        <v/>
      </c>
    </row>
    <row r="201" spans="1:13" ht="15" hidden="1" customHeight="1" outlineLevel="1">
      <c r="A201" s="16"/>
      <c r="B201" s="17"/>
      <c r="C201" s="17"/>
      <c r="D201" s="18"/>
      <c r="E201" s="18"/>
      <c r="F201" s="19"/>
      <c r="G201" s="19"/>
      <c r="H201" s="17"/>
      <c r="I201" s="20"/>
      <c r="J201" s="18"/>
      <c r="K201" s="17"/>
      <c r="L201" s="18"/>
      <c r="M201" s="17" t="str">
        <f t="shared" ca="1" si="3"/>
        <v/>
      </c>
    </row>
    <row r="202" spans="1:13" ht="15" hidden="1" customHeight="1" outlineLevel="1">
      <c r="A202" s="16"/>
      <c r="B202" s="17"/>
      <c r="C202" s="17"/>
      <c r="D202" s="18"/>
      <c r="E202" s="18"/>
      <c r="F202" s="19"/>
      <c r="G202" s="19"/>
      <c r="H202" s="17"/>
      <c r="I202" s="20"/>
      <c r="J202" s="18"/>
      <c r="K202" s="17"/>
      <c r="L202" s="18"/>
      <c r="M202" s="17" t="str">
        <f t="shared" ca="1" si="3"/>
        <v/>
      </c>
    </row>
    <row r="203" spans="1:13" ht="15" hidden="1" customHeight="1" outlineLevel="1">
      <c r="A203" s="16"/>
      <c r="B203" s="17"/>
      <c r="C203" s="17"/>
      <c r="D203" s="18"/>
      <c r="E203" s="18"/>
      <c r="F203" s="19"/>
      <c r="G203" s="19"/>
      <c r="H203" s="17"/>
      <c r="I203" s="20"/>
      <c r="J203" s="18"/>
      <c r="K203" s="17"/>
      <c r="L203" s="18"/>
      <c r="M203" s="17" t="str">
        <f t="shared" ca="1" si="3"/>
        <v/>
      </c>
    </row>
    <row r="204" spans="1:13" ht="15" hidden="1" customHeight="1" outlineLevel="1">
      <c r="A204" s="16"/>
      <c r="B204" s="17"/>
      <c r="C204" s="17"/>
      <c r="D204" s="18"/>
      <c r="E204" s="18"/>
      <c r="F204" s="19"/>
      <c r="G204" s="19"/>
      <c r="H204" s="17"/>
      <c r="I204" s="20"/>
      <c r="J204" s="18"/>
      <c r="K204" s="17"/>
      <c r="L204" s="18"/>
      <c r="M204" s="17" t="str">
        <f t="shared" ca="1" si="3"/>
        <v/>
      </c>
    </row>
    <row r="205" spans="1:13" ht="15" hidden="1" customHeight="1" outlineLevel="1">
      <c r="A205" s="16"/>
      <c r="B205" s="17"/>
      <c r="C205" s="17"/>
      <c r="D205" s="18"/>
      <c r="E205" s="18"/>
      <c r="F205" s="19"/>
      <c r="G205" s="19"/>
      <c r="H205" s="17"/>
      <c r="I205" s="20"/>
      <c r="J205" s="18"/>
      <c r="K205" s="17"/>
      <c r="L205" s="18"/>
      <c r="M205" s="17" t="str">
        <f t="shared" ca="1" si="3"/>
        <v/>
      </c>
    </row>
    <row r="206" spans="1:13" ht="15" hidden="1" customHeight="1" outlineLevel="1">
      <c r="A206" s="16"/>
      <c r="B206" s="17"/>
      <c r="C206" s="17"/>
      <c r="D206" s="18"/>
      <c r="E206" s="18"/>
      <c r="F206" s="19"/>
      <c r="G206" s="19"/>
      <c r="H206" s="17"/>
      <c r="I206" s="20"/>
      <c r="J206" s="18"/>
      <c r="K206" s="17"/>
      <c r="L206" s="18"/>
      <c r="M206" s="17" t="str">
        <f t="shared" ca="1" si="3"/>
        <v/>
      </c>
    </row>
    <row r="207" spans="1:13" ht="15" hidden="1" customHeight="1" outlineLevel="1">
      <c r="A207" s="16"/>
      <c r="B207" s="17"/>
      <c r="C207" s="17"/>
      <c r="D207" s="18"/>
      <c r="E207" s="18"/>
      <c r="F207" s="19"/>
      <c r="G207" s="19"/>
      <c r="H207" s="17"/>
      <c r="I207" s="20"/>
      <c r="J207" s="18"/>
      <c r="K207" s="17"/>
      <c r="L207" s="18"/>
      <c r="M207" s="17" t="str">
        <f t="shared" ca="1" si="3"/>
        <v/>
      </c>
    </row>
    <row r="208" spans="1:13" ht="15" hidden="1" customHeight="1" outlineLevel="1">
      <c r="A208" s="16"/>
      <c r="B208" s="17"/>
      <c r="C208" s="17"/>
      <c r="D208" s="18"/>
      <c r="E208" s="18"/>
      <c r="F208" s="19"/>
      <c r="G208" s="19"/>
      <c r="H208" s="17"/>
      <c r="I208" s="20"/>
      <c r="J208" s="18"/>
      <c r="K208" s="17"/>
      <c r="L208" s="18"/>
      <c r="M208" s="17" t="str">
        <f t="shared" ca="1" si="3"/>
        <v/>
      </c>
    </row>
    <row r="209" spans="1:13" ht="15" hidden="1" customHeight="1" outlineLevel="1">
      <c r="A209" s="16"/>
      <c r="B209" s="17"/>
      <c r="C209" s="17"/>
      <c r="D209" s="18"/>
      <c r="E209" s="18"/>
      <c r="F209" s="19"/>
      <c r="G209" s="19"/>
      <c r="H209" s="17"/>
      <c r="I209" s="20"/>
      <c r="J209" s="18"/>
      <c r="K209" s="17"/>
      <c r="L209" s="18"/>
      <c r="M209" s="17" t="str">
        <f t="shared" ca="1" si="3"/>
        <v/>
      </c>
    </row>
    <row r="210" spans="1:13" ht="15" hidden="1" customHeight="1" outlineLevel="1">
      <c r="A210" s="16"/>
      <c r="B210" s="17"/>
      <c r="C210" s="17"/>
      <c r="D210" s="18"/>
      <c r="E210" s="18"/>
      <c r="F210" s="19"/>
      <c r="G210" s="19"/>
      <c r="H210" s="17"/>
      <c r="I210" s="20"/>
      <c r="J210" s="18"/>
      <c r="K210" s="17"/>
      <c r="L210" s="18"/>
      <c r="M210" s="17" t="str">
        <f t="shared" ca="1" si="3"/>
        <v/>
      </c>
    </row>
    <row r="211" spans="1:13" ht="15" hidden="1" customHeight="1" outlineLevel="1">
      <c r="A211" s="16"/>
      <c r="B211" s="17"/>
      <c r="C211" s="17"/>
      <c r="D211" s="18"/>
      <c r="E211" s="18"/>
      <c r="F211" s="19"/>
      <c r="G211" s="19"/>
      <c r="H211" s="17"/>
      <c r="I211" s="20"/>
      <c r="J211" s="18"/>
      <c r="K211" s="17"/>
      <c r="L211" s="18"/>
      <c r="M211" s="17" t="str">
        <f t="shared" ca="1" si="3"/>
        <v/>
      </c>
    </row>
    <row r="212" spans="1:13" ht="15" hidden="1" customHeight="1" outlineLevel="1">
      <c r="A212" s="16"/>
      <c r="B212" s="17"/>
      <c r="C212" s="17"/>
      <c r="D212" s="18"/>
      <c r="E212" s="18"/>
      <c r="F212" s="19"/>
      <c r="G212" s="19"/>
      <c r="H212" s="17"/>
      <c r="I212" s="20"/>
      <c r="J212" s="18"/>
      <c r="K212" s="17"/>
      <c r="L212" s="18"/>
      <c r="M212" s="17" t="str">
        <f t="shared" ca="1" si="3"/>
        <v/>
      </c>
    </row>
    <row r="213" spans="1:13" ht="15" hidden="1" customHeight="1" outlineLevel="1">
      <c r="A213" s="16"/>
      <c r="B213" s="17"/>
      <c r="C213" s="17"/>
      <c r="D213" s="18"/>
      <c r="E213" s="18"/>
      <c r="F213" s="19"/>
      <c r="G213" s="19"/>
      <c r="H213" s="17"/>
      <c r="I213" s="20"/>
      <c r="J213" s="18"/>
      <c r="K213" s="17"/>
      <c r="L213" s="18"/>
      <c r="M213" s="17" t="str">
        <f t="shared" ca="1" si="3"/>
        <v/>
      </c>
    </row>
    <row r="214" spans="1:13" ht="15" hidden="1" customHeight="1" outlineLevel="1">
      <c r="A214" s="16"/>
      <c r="B214" s="17"/>
      <c r="C214" s="17"/>
      <c r="D214" s="18"/>
      <c r="E214" s="18"/>
      <c r="F214" s="19"/>
      <c r="G214" s="19"/>
      <c r="H214" s="17"/>
      <c r="I214" s="20"/>
      <c r="J214" s="18"/>
      <c r="K214" s="17"/>
      <c r="L214" s="18"/>
      <c r="M214" s="17" t="str">
        <f t="shared" ca="1" si="3"/>
        <v/>
      </c>
    </row>
    <row r="215" spans="1:13" ht="15" hidden="1" customHeight="1" outlineLevel="1">
      <c r="A215" s="16"/>
      <c r="B215" s="17"/>
      <c r="C215" s="17"/>
      <c r="D215" s="18"/>
      <c r="E215" s="18"/>
      <c r="F215" s="19"/>
      <c r="G215" s="19"/>
      <c r="H215" s="17"/>
      <c r="I215" s="20"/>
      <c r="J215" s="18"/>
      <c r="K215" s="17"/>
      <c r="L215" s="18"/>
      <c r="M215" s="17" t="str">
        <f t="shared" ca="1" si="3"/>
        <v/>
      </c>
    </row>
    <row r="216" spans="1:13" ht="15" hidden="1" customHeight="1" outlineLevel="1">
      <c r="A216" s="16"/>
      <c r="B216" s="17"/>
      <c r="C216" s="17"/>
      <c r="D216" s="18"/>
      <c r="E216" s="18"/>
      <c r="F216" s="19"/>
      <c r="G216" s="19"/>
      <c r="H216" s="17"/>
      <c r="I216" s="20"/>
      <c r="J216" s="18"/>
      <c r="K216" s="17"/>
      <c r="L216" s="18"/>
      <c r="M216" s="17" t="str">
        <f t="shared" ca="1" si="3"/>
        <v/>
      </c>
    </row>
    <row r="217" spans="1:13" collapsed="1"/>
  </sheetData>
  <autoFilter ref="A2:M216" xr:uid="{00000000-0009-0000-0000-000003000000}"/>
  <mergeCells count="1">
    <mergeCell ref="A1:M1"/>
  </mergeCells>
  <conditionalFormatting sqref="H3:H216">
    <cfRule type="cellIs" dxfId="38" priority="2" operator="equal">
      <formula>"Completed"</formula>
    </cfRule>
    <cfRule type="cellIs" dxfId="37" priority="3" operator="equal">
      <formula>"In Progress"</formula>
    </cfRule>
    <cfRule type="cellIs" dxfId="36" priority="4" operator="equal">
      <formula>"Not Started"</formula>
    </cfRule>
    <cfRule type="cellIs" dxfId="35" priority="5" operator="equal">
      <formula>"Delayed"</formula>
    </cfRule>
    <cfRule type="cellIs" dxfId="34" priority="6" operator="equal">
      <formula>"Blocked"</formula>
    </cfRule>
  </conditionalFormatting>
  <conditionalFormatting sqref="M3:M216">
    <cfRule type="cellIs" dxfId="33" priority="7" operator="equal">
      <formula>"Completed"</formula>
    </cfRule>
    <cfRule type="cellIs" dxfId="32" priority="8" operator="equal">
      <formula>"On Track"</formula>
    </cfRule>
    <cfRule type="cellIs" dxfId="31" priority="9" operator="equal">
      <formula>"Overdue"</formula>
    </cfRule>
    <cfRule type="cellIs" dxfId="30" priority="10" operator="equal">
      <formula>"Delayed"</formula>
    </cfRule>
    <cfRule type="cellIs" dxfId="29" priority="11" operator="equal">
      <formula>"Blocked"</formula>
    </cfRule>
  </conditionalFormatting>
  <conditionalFormatting sqref="K3:K216">
    <cfRule type="cellIs" dxfId="28" priority="12" operator="equal">
      <formula>"Yes"</formula>
    </cfRule>
    <cfRule type="cellIs" dxfId="27" priority="13" operator="equal">
      <formula>"No"</formula>
    </cfRule>
  </conditionalFormatting>
  <conditionalFormatting sqref="I3:I216">
    <cfRule type="dataBar" priority="14">
      <dataBar>
        <cfvo type="num" val="0"/>
        <cfvo type="num" val="100"/>
        <color rgb="FFA9C6E8"/>
      </dataBar>
    </cfRule>
  </conditionalFormatting>
  <dataValidations count="4">
    <dataValidation type="list" allowBlank="1" showErrorMessage="1" sqref="H3:H216" xr:uid="{00000000-0002-0000-0300-000000000000}">
      <formula1>"Not Started,In Progress,Completed,Delayed,Blocked"</formula1>
      <formula2>0</formula2>
    </dataValidation>
    <dataValidation type="list" allowBlank="1" showErrorMessage="1" sqref="K3:K216" xr:uid="{00000000-0002-0000-0300-000001000000}">
      <formula1>"Yes,No"</formula1>
      <formula2>0</formula2>
    </dataValidation>
    <dataValidation type="list" allowBlank="1" showErrorMessage="1" sqref="B3:B216" xr:uid="{00000000-0002-0000-0300-000002000000}">
      <formula1>"Unit 1 / Phase 1,Unit 3 / Phase 2,Phase 3,Final"</formula1>
      <formula2>0</formula2>
    </dataValidation>
    <dataValidation type="list" allowBlank="1" showErrorMessage="1" sqref="I3:I216" xr:uid="{00000000-0002-0000-0300-000003000000}">
      <formula1>"0,25,50,75,100"</formula1>
      <formula2>0</formula2>
    </dataValidation>
  </dataValidations>
  <hyperlinks>
    <hyperlink ref="J10" r:id="rId1" xr:uid="{00000000-0004-0000-0300-000000000000}"/>
    <hyperlink ref="J11" r:id="rId2" xr:uid="{00000000-0004-0000-0300-000001000000}"/>
  </hyperlinks>
  <pageMargins left="0.4" right="0.4" top="0.5" bottom="0.6" header="0.511811023622047" footer="0.51180555555555596"/>
  <pageSetup paperSize="9" fitToHeight="0" orientation="landscape" horizontalDpi="300" verticalDpi="300"/>
  <headerFooter>
    <oddFooter>&amp;C&amp;A  |  Page &amp;P of &amp;N&amp;RITC327W Project Progress Workbook</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B2E59"/>
    <pageSetUpPr fitToPage="1"/>
  </sheetPr>
  <dimension ref="A1:L317"/>
  <sheetViews>
    <sheetView showGridLines="0" topLeftCell="D1" zoomScaleNormal="100" workbookViewId="0">
      <pane xSplit="1" ySplit="2" topLeftCell="B209" activePane="bottomRight" state="frozen"/>
      <selection activeCell="D1" sqref="D1"/>
      <selection pane="topRight" activeCell="B1" sqref="B1"/>
      <selection pane="bottomLeft" activeCell="D3" sqref="D3"/>
      <selection pane="bottomRight" activeCell="I225" sqref="I225"/>
    </sheetView>
  </sheetViews>
  <sheetFormatPr defaultColWidth="9" defaultRowHeight="15" outlineLevelRow="1"/>
  <cols>
    <col min="1" max="1" width="25" style="1" customWidth="1"/>
    <col min="2" max="2" width="15" style="1" customWidth="1"/>
    <col min="3" max="3" width="19" style="1" customWidth="1"/>
    <col min="4" max="4" width="22" style="1" customWidth="1"/>
    <col min="5" max="5" width="42" style="1" customWidth="1"/>
    <col min="6" max="6" width="46" style="1" customWidth="1"/>
    <col min="7" max="7" width="14" style="1" customWidth="1"/>
    <col min="8" max="8" width="12" style="1" customWidth="1"/>
    <col min="9" max="9" width="42" style="1" customWidth="1"/>
    <col min="10" max="11" width="14" style="1" customWidth="1"/>
    <col min="12" max="12" width="38" style="1" customWidth="1"/>
  </cols>
  <sheetData>
    <row r="1" spans="1:12" ht="30" customHeight="1">
      <c r="A1" s="28" t="s">
        <v>275</v>
      </c>
      <c r="B1" s="29"/>
      <c r="C1" s="29"/>
      <c r="D1" s="29"/>
      <c r="E1" s="29"/>
      <c r="F1" s="29"/>
      <c r="G1" s="29"/>
      <c r="H1" s="29"/>
      <c r="I1" s="29"/>
      <c r="J1" s="29"/>
      <c r="K1" s="29"/>
      <c r="L1" s="29"/>
    </row>
    <row r="2" spans="1:12" ht="31.5" customHeight="1">
      <c r="A2" s="15" t="s">
        <v>276</v>
      </c>
      <c r="B2" s="15" t="s">
        <v>277</v>
      </c>
      <c r="C2" s="15" t="s">
        <v>117</v>
      </c>
      <c r="D2" s="15" t="s">
        <v>118</v>
      </c>
      <c r="E2" s="15" t="s">
        <v>278</v>
      </c>
      <c r="F2" s="15" t="s">
        <v>279</v>
      </c>
      <c r="G2" s="15" t="s">
        <v>280</v>
      </c>
      <c r="H2" s="15" t="s">
        <v>281</v>
      </c>
      <c r="I2" s="15" t="s">
        <v>125</v>
      </c>
      <c r="J2" s="15" t="s">
        <v>126</v>
      </c>
      <c r="K2" s="15" t="s">
        <v>282</v>
      </c>
      <c r="L2" s="15" t="s">
        <v>283</v>
      </c>
    </row>
    <row r="3" spans="1:12" ht="51.75" customHeight="1">
      <c r="A3" s="22" t="s">
        <v>176</v>
      </c>
      <c r="B3" s="23">
        <v>221000484</v>
      </c>
      <c r="C3" s="17" t="s">
        <v>32</v>
      </c>
      <c r="D3" s="18" t="s">
        <v>284</v>
      </c>
      <c r="E3" s="18" t="s">
        <v>285</v>
      </c>
      <c r="F3" s="18" t="s">
        <v>286</v>
      </c>
      <c r="G3" s="19">
        <v>46252</v>
      </c>
      <c r="H3" s="24">
        <v>3</v>
      </c>
      <c r="I3" s="18" t="s">
        <v>287</v>
      </c>
      <c r="J3" s="17" t="s">
        <v>96</v>
      </c>
      <c r="K3" s="19">
        <v>46259</v>
      </c>
      <c r="L3" s="18"/>
    </row>
    <row r="4" spans="1:12" ht="36.75" customHeight="1">
      <c r="A4" s="22" t="s">
        <v>188</v>
      </c>
      <c r="B4" s="23">
        <v>222075924</v>
      </c>
      <c r="C4" s="17" t="s">
        <v>32</v>
      </c>
      <c r="D4" s="18" t="s">
        <v>288</v>
      </c>
      <c r="E4" s="18" t="s">
        <v>289</v>
      </c>
      <c r="F4" s="18" t="s">
        <v>290</v>
      </c>
      <c r="G4" s="19">
        <v>46258</v>
      </c>
      <c r="H4" s="24">
        <v>2</v>
      </c>
      <c r="I4" s="18" t="s">
        <v>291</v>
      </c>
      <c r="J4" s="17" t="s">
        <v>96</v>
      </c>
      <c r="K4" s="19">
        <v>46259</v>
      </c>
      <c r="L4" s="18"/>
    </row>
    <row r="5" spans="1:12" ht="36.75" customHeight="1">
      <c r="A5" s="22" t="s">
        <v>184</v>
      </c>
      <c r="B5" s="23">
        <v>220007164</v>
      </c>
      <c r="C5" s="17" t="s">
        <v>32</v>
      </c>
      <c r="D5" s="18" t="s">
        <v>292</v>
      </c>
      <c r="E5" s="18" t="s">
        <v>293</v>
      </c>
      <c r="F5" s="18" t="s">
        <v>294</v>
      </c>
      <c r="G5" s="19">
        <v>46259</v>
      </c>
      <c r="H5" s="24">
        <v>4</v>
      </c>
      <c r="I5" s="18" t="s">
        <v>295</v>
      </c>
      <c r="J5" s="17" t="s">
        <v>96</v>
      </c>
      <c r="K5" s="19">
        <v>46259</v>
      </c>
      <c r="L5" s="18"/>
    </row>
    <row r="6" spans="1:12" ht="51.75" customHeight="1">
      <c r="A6" s="22" t="s">
        <v>196</v>
      </c>
      <c r="B6" s="23">
        <v>221023182</v>
      </c>
      <c r="C6" s="17" t="s">
        <v>32</v>
      </c>
      <c r="D6" s="18" t="s">
        <v>284</v>
      </c>
      <c r="E6" s="18" t="s">
        <v>296</v>
      </c>
      <c r="F6" s="18" t="s">
        <v>297</v>
      </c>
      <c r="G6" s="19">
        <v>46259</v>
      </c>
      <c r="H6" s="24">
        <v>5</v>
      </c>
      <c r="I6" s="18" t="s">
        <v>298</v>
      </c>
      <c r="J6" s="17" t="s">
        <v>96</v>
      </c>
      <c r="K6" s="19">
        <v>46259</v>
      </c>
      <c r="L6" s="18"/>
    </row>
    <row r="7" spans="1:12" ht="66.75" customHeight="1">
      <c r="A7" s="22" t="s">
        <v>168</v>
      </c>
      <c r="B7" s="23">
        <v>221027400</v>
      </c>
      <c r="C7" s="17" t="s">
        <v>32</v>
      </c>
      <c r="D7" s="18" t="s">
        <v>284</v>
      </c>
      <c r="E7" s="18" t="s">
        <v>299</v>
      </c>
      <c r="F7" s="18" t="s">
        <v>300</v>
      </c>
      <c r="G7" s="19">
        <v>46260</v>
      </c>
      <c r="H7" s="24">
        <v>5</v>
      </c>
      <c r="I7" s="18" t="s">
        <v>301</v>
      </c>
      <c r="J7" s="17" t="s">
        <v>96</v>
      </c>
      <c r="K7" s="19">
        <v>46259</v>
      </c>
      <c r="L7" s="18"/>
    </row>
    <row r="8" spans="1:12" ht="66.75" customHeight="1">
      <c r="A8" s="22" t="s">
        <v>176</v>
      </c>
      <c r="B8" s="23">
        <v>221000484</v>
      </c>
      <c r="C8" s="17" t="s">
        <v>76</v>
      </c>
      <c r="D8" s="18" t="s">
        <v>302</v>
      </c>
      <c r="E8" s="18" t="s">
        <v>303</v>
      </c>
      <c r="F8" s="18" t="s">
        <v>304</v>
      </c>
      <c r="G8" s="19">
        <v>46277</v>
      </c>
      <c r="H8" s="24">
        <v>6</v>
      </c>
      <c r="I8" s="18" t="s">
        <v>305</v>
      </c>
      <c r="J8" s="17" t="s">
        <v>96</v>
      </c>
      <c r="K8" s="19">
        <v>46288</v>
      </c>
      <c r="L8" s="18"/>
    </row>
    <row r="9" spans="1:12" ht="81.75" customHeight="1">
      <c r="A9" s="22" t="s">
        <v>180</v>
      </c>
      <c r="B9" s="23">
        <v>219015068</v>
      </c>
      <c r="C9" s="17" t="s">
        <v>76</v>
      </c>
      <c r="D9" s="18" t="s">
        <v>306</v>
      </c>
      <c r="E9" s="18" t="s">
        <v>307</v>
      </c>
      <c r="F9" s="18" t="s">
        <v>308</v>
      </c>
      <c r="G9" s="19">
        <v>46286</v>
      </c>
      <c r="H9" s="24">
        <v>5</v>
      </c>
      <c r="I9" s="18" t="s">
        <v>309</v>
      </c>
      <c r="J9" s="17" t="s">
        <v>96</v>
      </c>
      <c r="K9" s="19">
        <v>46288</v>
      </c>
      <c r="L9" s="18"/>
    </row>
    <row r="10" spans="1:12" ht="66.75" customHeight="1">
      <c r="A10" s="22" t="s">
        <v>184</v>
      </c>
      <c r="B10" s="23">
        <v>220007164</v>
      </c>
      <c r="C10" s="17" t="s">
        <v>76</v>
      </c>
      <c r="D10" s="18" t="s">
        <v>310</v>
      </c>
      <c r="E10" s="18" t="s">
        <v>311</v>
      </c>
      <c r="F10" s="18" t="s">
        <v>312</v>
      </c>
      <c r="G10" s="19">
        <v>46287</v>
      </c>
      <c r="H10" s="24">
        <v>6</v>
      </c>
      <c r="I10" s="18" t="s">
        <v>313</v>
      </c>
      <c r="J10" s="17" t="s">
        <v>96</v>
      </c>
      <c r="K10" s="19">
        <v>46288</v>
      </c>
      <c r="L10" s="18"/>
    </row>
    <row r="11" spans="1:12" ht="66.75" customHeight="1">
      <c r="A11" s="22" t="s">
        <v>188</v>
      </c>
      <c r="B11" s="23">
        <v>222075924</v>
      </c>
      <c r="C11" s="17" t="s">
        <v>76</v>
      </c>
      <c r="D11" s="18" t="s">
        <v>314</v>
      </c>
      <c r="E11" s="18" t="s">
        <v>315</v>
      </c>
      <c r="F11" s="18" t="s">
        <v>316</v>
      </c>
      <c r="G11" s="19">
        <v>46288</v>
      </c>
      <c r="H11" s="24">
        <v>5</v>
      </c>
      <c r="I11" s="18" t="s">
        <v>317</v>
      </c>
      <c r="J11" s="17" t="s">
        <v>96</v>
      </c>
      <c r="K11" s="19">
        <v>46288</v>
      </c>
      <c r="L11" s="18"/>
    </row>
    <row r="12" spans="1:12" ht="66.75" customHeight="1">
      <c r="A12" s="22" t="s">
        <v>196</v>
      </c>
      <c r="B12" s="23">
        <v>221023182</v>
      </c>
      <c r="C12" s="17" t="s">
        <v>76</v>
      </c>
      <c r="D12" s="18" t="s">
        <v>318</v>
      </c>
      <c r="E12" s="18" t="s">
        <v>319</v>
      </c>
      <c r="F12" s="18" t="s">
        <v>320</v>
      </c>
      <c r="G12" s="19">
        <v>46288</v>
      </c>
      <c r="H12" s="24">
        <v>6</v>
      </c>
      <c r="I12" s="18" t="s">
        <v>321</v>
      </c>
      <c r="J12" s="17" t="s">
        <v>96</v>
      </c>
      <c r="K12" s="19">
        <v>46288</v>
      </c>
      <c r="L12" s="18"/>
    </row>
    <row r="13" spans="1:12" ht="66.75" customHeight="1">
      <c r="A13" s="22" t="s">
        <v>168</v>
      </c>
      <c r="B13" s="23">
        <v>221027400</v>
      </c>
      <c r="C13" s="17" t="s">
        <v>76</v>
      </c>
      <c r="D13" s="18" t="s">
        <v>322</v>
      </c>
      <c r="E13" s="18" t="s">
        <v>323</v>
      </c>
      <c r="F13" s="18" t="s">
        <v>324</v>
      </c>
      <c r="G13" s="19">
        <v>46288</v>
      </c>
      <c r="H13" s="24">
        <v>6</v>
      </c>
      <c r="I13" s="18" t="s">
        <v>325</v>
      </c>
      <c r="J13" s="17" t="s">
        <v>96</v>
      </c>
      <c r="K13" s="19">
        <v>46288</v>
      </c>
      <c r="L13" s="18"/>
    </row>
    <row r="14" spans="1:12" ht="21" customHeight="1">
      <c r="A14" s="22"/>
      <c r="B14" s="23"/>
      <c r="C14" s="17"/>
      <c r="D14" s="18"/>
      <c r="E14" s="18"/>
      <c r="F14" s="18"/>
      <c r="G14" s="19"/>
      <c r="H14" s="24"/>
      <c r="I14" s="18"/>
      <c r="J14" s="17"/>
      <c r="K14" s="19"/>
      <c r="L14" s="18"/>
    </row>
    <row r="15" spans="1:12" ht="21" customHeight="1">
      <c r="A15" s="22"/>
      <c r="B15" s="23"/>
      <c r="C15" s="17"/>
      <c r="D15" s="18"/>
      <c r="E15" s="18"/>
      <c r="F15" s="18"/>
      <c r="G15" s="19"/>
      <c r="H15" s="24"/>
      <c r="I15" s="18"/>
      <c r="J15" s="17"/>
      <c r="K15" s="19"/>
      <c r="L15" s="18"/>
    </row>
    <row r="16" spans="1:12" ht="21" customHeight="1">
      <c r="A16" s="22"/>
      <c r="B16" s="23"/>
      <c r="C16" s="17"/>
      <c r="D16" s="18"/>
      <c r="E16" s="18"/>
      <c r="F16" s="18"/>
      <c r="G16" s="19"/>
      <c r="H16" s="24"/>
      <c r="I16" s="18"/>
      <c r="J16" s="17"/>
      <c r="K16" s="19"/>
      <c r="L16" s="18"/>
    </row>
    <row r="17" spans="1:12" ht="14.25" hidden="1" customHeight="1" outlineLevel="1">
      <c r="A17" s="22"/>
      <c r="B17" s="23"/>
      <c r="C17" s="17"/>
      <c r="D17" s="18"/>
      <c r="E17" s="18"/>
      <c r="F17" s="18"/>
      <c r="G17" s="19"/>
      <c r="H17" s="24"/>
      <c r="I17" s="18"/>
      <c r="J17" s="17"/>
      <c r="K17" s="19"/>
      <c r="L17" s="18"/>
    </row>
    <row r="18" spans="1:12" ht="14.25" hidden="1" customHeight="1" outlineLevel="1">
      <c r="A18" s="22"/>
      <c r="B18" s="23"/>
      <c r="C18" s="17"/>
      <c r="D18" s="18"/>
      <c r="E18" s="18"/>
      <c r="F18" s="18"/>
      <c r="G18" s="19"/>
      <c r="H18" s="24"/>
      <c r="I18" s="18"/>
      <c r="J18" s="17"/>
      <c r="K18" s="19"/>
      <c r="L18" s="18"/>
    </row>
    <row r="19" spans="1:12" ht="14.25" hidden="1" customHeight="1" outlineLevel="1">
      <c r="A19" s="22"/>
      <c r="B19" s="23"/>
      <c r="C19" s="17"/>
      <c r="D19" s="18"/>
      <c r="E19" s="18"/>
      <c r="F19" s="18"/>
      <c r="G19" s="19"/>
      <c r="H19" s="24"/>
      <c r="I19" s="18"/>
      <c r="J19" s="17"/>
      <c r="K19" s="19"/>
      <c r="L19" s="18"/>
    </row>
    <row r="20" spans="1:12" ht="14.25" hidden="1" customHeight="1" outlineLevel="1">
      <c r="A20" s="22"/>
      <c r="B20" s="23"/>
      <c r="C20" s="17"/>
      <c r="D20" s="18"/>
      <c r="E20" s="18"/>
      <c r="F20" s="18"/>
      <c r="G20" s="19"/>
      <c r="H20" s="24"/>
      <c r="I20" s="18"/>
      <c r="J20" s="17"/>
      <c r="K20" s="19"/>
      <c r="L20" s="18"/>
    </row>
    <row r="21" spans="1:12" ht="14.25" hidden="1" customHeight="1" outlineLevel="1">
      <c r="A21" s="22"/>
      <c r="B21" s="23"/>
      <c r="C21" s="17"/>
      <c r="D21" s="18"/>
      <c r="E21" s="18"/>
      <c r="F21" s="18"/>
      <c r="G21" s="19"/>
      <c r="H21" s="24"/>
      <c r="I21" s="18"/>
      <c r="J21" s="17"/>
      <c r="K21" s="19"/>
      <c r="L21" s="18"/>
    </row>
    <row r="22" spans="1:12" ht="14.25" hidden="1" customHeight="1" outlineLevel="1">
      <c r="A22" s="22"/>
      <c r="B22" s="23"/>
      <c r="C22" s="17"/>
      <c r="D22" s="18"/>
      <c r="E22" s="18"/>
      <c r="F22" s="18"/>
      <c r="G22" s="19"/>
      <c r="H22" s="24"/>
      <c r="I22" s="18"/>
      <c r="J22" s="17"/>
      <c r="K22" s="19"/>
      <c r="L22" s="18"/>
    </row>
    <row r="23" spans="1:12" ht="14.25" hidden="1" customHeight="1" outlineLevel="1">
      <c r="A23" s="22"/>
      <c r="B23" s="23"/>
      <c r="C23" s="17"/>
      <c r="D23" s="18"/>
      <c r="E23" s="18"/>
      <c r="F23" s="18"/>
      <c r="G23" s="19"/>
      <c r="H23" s="24"/>
      <c r="I23" s="18"/>
      <c r="J23" s="17"/>
      <c r="K23" s="19"/>
      <c r="L23" s="18"/>
    </row>
    <row r="24" spans="1:12" ht="14.25" hidden="1" customHeight="1" outlineLevel="1">
      <c r="A24" s="22"/>
      <c r="B24" s="23"/>
      <c r="C24" s="17"/>
      <c r="D24" s="18"/>
      <c r="E24" s="18"/>
      <c r="F24" s="18"/>
      <c r="G24" s="19"/>
      <c r="H24" s="24"/>
      <c r="I24" s="18"/>
      <c r="J24" s="17"/>
      <c r="K24" s="19"/>
      <c r="L24" s="18"/>
    </row>
    <row r="25" spans="1:12" ht="14.25" hidden="1" customHeight="1" outlineLevel="1">
      <c r="A25" s="22"/>
      <c r="B25" s="23"/>
      <c r="C25" s="17"/>
      <c r="D25" s="18"/>
      <c r="E25" s="18"/>
      <c r="F25" s="18"/>
      <c r="G25" s="19"/>
      <c r="H25" s="24"/>
      <c r="I25" s="18"/>
      <c r="J25" s="17"/>
      <c r="K25" s="19"/>
      <c r="L25" s="18"/>
    </row>
    <row r="26" spans="1:12" ht="14.25" hidden="1" customHeight="1" outlineLevel="1">
      <c r="A26" s="22"/>
      <c r="B26" s="23"/>
      <c r="C26" s="17"/>
      <c r="D26" s="18"/>
      <c r="E26" s="18"/>
      <c r="F26" s="18"/>
      <c r="G26" s="19"/>
      <c r="H26" s="24"/>
      <c r="I26" s="18"/>
      <c r="J26" s="17"/>
      <c r="K26" s="19"/>
      <c r="L26" s="18"/>
    </row>
    <row r="27" spans="1:12" ht="14.25" hidden="1" customHeight="1" outlineLevel="1">
      <c r="A27" s="22"/>
      <c r="B27" s="23"/>
      <c r="C27" s="17"/>
      <c r="D27" s="18"/>
      <c r="E27" s="18"/>
      <c r="F27" s="18"/>
      <c r="G27" s="19"/>
      <c r="H27" s="24"/>
      <c r="I27" s="18"/>
      <c r="J27" s="17"/>
      <c r="K27" s="19"/>
      <c r="L27" s="18"/>
    </row>
    <row r="28" spans="1:12" ht="14.25" hidden="1" customHeight="1" outlineLevel="1">
      <c r="A28" s="22"/>
      <c r="B28" s="23"/>
      <c r="C28" s="17"/>
      <c r="D28" s="18"/>
      <c r="E28" s="18"/>
      <c r="F28" s="18"/>
      <c r="G28" s="19"/>
      <c r="H28" s="24"/>
      <c r="I28" s="18"/>
      <c r="J28" s="17"/>
      <c r="K28" s="19"/>
      <c r="L28" s="18"/>
    </row>
    <row r="29" spans="1:12" ht="14.25" hidden="1" customHeight="1" outlineLevel="1">
      <c r="A29" s="22"/>
      <c r="B29" s="23"/>
      <c r="C29" s="17"/>
      <c r="D29" s="18"/>
      <c r="E29" s="18"/>
      <c r="F29" s="18"/>
      <c r="G29" s="19"/>
      <c r="H29" s="24"/>
      <c r="I29" s="18"/>
      <c r="J29" s="17"/>
      <c r="K29" s="19"/>
      <c r="L29" s="18"/>
    </row>
    <row r="30" spans="1:12" ht="14.25" hidden="1" customHeight="1" outlineLevel="1">
      <c r="A30" s="22"/>
      <c r="B30" s="23"/>
      <c r="C30" s="17"/>
      <c r="D30" s="18"/>
      <c r="E30" s="18"/>
      <c r="F30" s="18"/>
      <c r="G30" s="19"/>
      <c r="H30" s="24"/>
      <c r="I30" s="18"/>
      <c r="J30" s="17"/>
      <c r="K30" s="19"/>
      <c r="L30" s="18"/>
    </row>
    <row r="31" spans="1:12" ht="14.25" hidden="1" customHeight="1" outlineLevel="1">
      <c r="A31" s="22"/>
      <c r="B31" s="23"/>
      <c r="C31" s="17"/>
      <c r="D31" s="18"/>
      <c r="E31" s="18"/>
      <c r="F31" s="18"/>
      <c r="G31" s="19"/>
      <c r="H31" s="24"/>
      <c r="I31" s="18"/>
      <c r="J31" s="17"/>
      <c r="K31" s="19"/>
      <c r="L31" s="18"/>
    </row>
    <row r="32" spans="1:12" ht="14.25" hidden="1" customHeight="1" outlineLevel="1">
      <c r="A32" s="22"/>
      <c r="B32" s="23"/>
      <c r="C32" s="17"/>
      <c r="D32" s="18"/>
      <c r="E32" s="18"/>
      <c r="F32" s="18"/>
      <c r="G32" s="19"/>
      <c r="H32" s="24"/>
      <c r="I32" s="18"/>
      <c r="J32" s="17"/>
      <c r="K32" s="19"/>
      <c r="L32" s="18"/>
    </row>
    <row r="33" spans="1:12" ht="14.25" hidden="1" customHeight="1" outlineLevel="1">
      <c r="A33" s="22"/>
      <c r="B33" s="23"/>
      <c r="C33" s="17"/>
      <c r="D33" s="18"/>
      <c r="E33" s="18"/>
      <c r="F33" s="18"/>
      <c r="G33" s="19"/>
      <c r="H33" s="24"/>
      <c r="I33" s="18"/>
      <c r="J33" s="17"/>
      <c r="K33" s="19"/>
      <c r="L33" s="18"/>
    </row>
    <row r="34" spans="1:12" ht="14.25" hidden="1" customHeight="1" outlineLevel="1">
      <c r="A34" s="22"/>
      <c r="B34" s="23"/>
      <c r="C34" s="17"/>
      <c r="D34" s="18"/>
      <c r="E34" s="18"/>
      <c r="F34" s="18"/>
      <c r="G34" s="19"/>
      <c r="H34" s="24"/>
      <c r="I34" s="18"/>
      <c r="J34" s="17"/>
      <c r="K34" s="19"/>
      <c r="L34" s="18"/>
    </row>
    <row r="35" spans="1:12" ht="14.25" hidden="1" customHeight="1" outlineLevel="1">
      <c r="A35" s="22"/>
      <c r="B35" s="23"/>
      <c r="C35" s="17"/>
      <c r="D35" s="18"/>
      <c r="E35" s="18"/>
      <c r="F35" s="18"/>
      <c r="G35" s="19"/>
      <c r="H35" s="24"/>
      <c r="I35" s="18"/>
      <c r="J35" s="17"/>
      <c r="K35" s="19"/>
      <c r="L35" s="18"/>
    </row>
    <row r="36" spans="1:12" ht="14.25" hidden="1" customHeight="1" outlineLevel="1">
      <c r="A36" s="22"/>
      <c r="B36" s="23"/>
      <c r="C36" s="17"/>
      <c r="D36" s="18"/>
      <c r="E36" s="18"/>
      <c r="F36" s="18"/>
      <c r="G36" s="19"/>
      <c r="H36" s="24"/>
      <c r="I36" s="18"/>
      <c r="J36" s="17"/>
      <c r="K36" s="19"/>
      <c r="L36" s="18"/>
    </row>
    <row r="37" spans="1:12" ht="14.25" hidden="1" customHeight="1" outlineLevel="1">
      <c r="A37" s="22"/>
      <c r="B37" s="23"/>
      <c r="C37" s="17"/>
      <c r="D37" s="18"/>
      <c r="E37" s="18"/>
      <c r="F37" s="18"/>
      <c r="G37" s="19"/>
      <c r="H37" s="24"/>
      <c r="I37" s="18"/>
      <c r="J37" s="17"/>
      <c r="K37" s="19"/>
      <c r="L37" s="18"/>
    </row>
    <row r="38" spans="1:12" ht="14.25" hidden="1" customHeight="1" outlineLevel="1">
      <c r="A38" s="22"/>
      <c r="B38" s="23"/>
      <c r="C38" s="17"/>
      <c r="D38" s="18"/>
      <c r="E38" s="18"/>
      <c r="F38" s="18"/>
      <c r="G38" s="19"/>
      <c r="H38" s="24"/>
      <c r="I38" s="18"/>
      <c r="J38" s="17"/>
      <c r="K38" s="19"/>
      <c r="L38" s="18"/>
    </row>
    <row r="39" spans="1:12" ht="14.25" hidden="1" customHeight="1" outlineLevel="1">
      <c r="A39" s="22"/>
      <c r="B39" s="23"/>
      <c r="C39" s="17"/>
      <c r="D39" s="18"/>
      <c r="E39" s="18"/>
      <c r="F39" s="18"/>
      <c r="G39" s="19"/>
      <c r="H39" s="24"/>
      <c r="I39" s="18"/>
      <c r="J39" s="17"/>
      <c r="K39" s="19"/>
      <c r="L39" s="18"/>
    </row>
    <row r="40" spans="1:12" ht="14.25" hidden="1" customHeight="1" outlineLevel="1">
      <c r="A40" s="22"/>
      <c r="B40" s="23"/>
      <c r="C40" s="17"/>
      <c r="D40" s="18"/>
      <c r="E40" s="18"/>
      <c r="F40" s="18"/>
      <c r="G40" s="19"/>
      <c r="H40" s="24"/>
      <c r="I40" s="18"/>
      <c r="J40" s="17"/>
      <c r="K40" s="19"/>
      <c r="L40" s="18"/>
    </row>
    <row r="41" spans="1:12" ht="14.25" hidden="1" customHeight="1" outlineLevel="1">
      <c r="A41" s="22"/>
      <c r="B41" s="23"/>
      <c r="C41" s="17"/>
      <c r="D41" s="18"/>
      <c r="E41" s="18"/>
      <c r="F41" s="18"/>
      <c r="G41" s="19"/>
      <c r="H41" s="24"/>
      <c r="I41" s="18"/>
      <c r="J41" s="17"/>
      <c r="K41" s="19"/>
      <c r="L41" s="18"/>
    </row>
    <row r="42" spans="1:12" ht="14.25" hidden="1" customHeight="1" outlineLevel="1">
      <c r="A42" s="22"/>
      <c r="B42" s="23"/>
      <c r="C42" s="17"/>
      <c r="D42" s="18"/>
      <c r="E42" s="18"/>
      <c r="F42" s="18"/>
      <c r="G42" s="19"/>
      <c r="H42" s="24"/>
      <c r="I42" s="18"/>
      <c r="J42" s="17"/>
      <c r="K42" s="19"/>
      <c r="L42" s="18"/>
    </row>
    <row r="43" spans="1:12" ht="14.25" hidden="1" customHeight="1" outlineLevel="1">
      <c r="A43" s="22"/>
      <c r="B43" s="23"/>
      <c r="C43" s="17"/>
      <c r="D43" s="18"/>
      <c r="E43" s="18"/>
      <c r="F43" s="18"/>
      <c r="G43" s="19"/>
      <c r="H43" s="24"/>
      <c r="I43" s="18"/>
      <c r="J43" s="17"/>
      <c r="K43" s="19"/>
      <c r="L43" s="18"/>
    </row>
    <row r="44" spans="1:12" ht="14.25" hidden="1" customHeight="1" outlineLevel="1">
      <c r="A44" s="22"/>
      <c r="B44" s="23"/>
      <c r="C44" s="17"/>
      <c r="D44" s="18"/>
      <c r="E44" s="18"/>
      <c r="F44" s="18"/>
      <c r="G44" s="19"/>
      <c r="H44" s="24"/>
      <c r="I44" s="18"/>
      <c r="J44" s="17"/>
      <c r="K44" s="19"/>
      <c r="L44" s="18"/>
    </row>
    <row r="45" spans="1:12" ht="14.25" hidden="1" customHeight="1" outlineLevel="1">
      <c r="A45" s="22"/>
      <c r="B45" s="23"/>
      <c r="C45" s="17"/>
      <c r="D45" s="18"/>
      <c r="E45" s="18"/>
      <c r="F45" s="18"/>
      <c r="G45" s="19"/>
      <c r="H45" s="24"/>
      <c r="I45" s="18"/>
      <c r="J45" s="17"/>
      <c r="K45" s="19"/>
      <c r="L45" s="18"/>
    </row>
    <row r="46" spans="1:12" ht="14.25" hidden="1" customHeight="1" outlineLevel="1">
      <c r="A46" s="22"/>
      <c r="B46" s="23"/>
      <c r="C46" s="17"/>
      <c r="D46" s="18"/>
      <c r="E46" s="18"/>
      <c r="F46" s="18"/>
      <c r="G46" s="19"/>
      <c r="H46" s="24"/>
      <c r="I46" s="18"/>
      <c r="J46" s="17"/>
      <c r="K46" s="19"/>
      <c r="L46" s="18"/>
    </row>
    <row r="47" spans="1:12" ht="14.25" hidden="1" customHeight="1" outlineLevel="1">
      <c r="A47" s="22"/>
      <c r="B47" s="23"/>
      <c r="C47" s="17"/>
      <c r="D47" s="18"/>
      <c r="E47" s="18"/>
      <c r="F47" s="18"/>
      <c r="G47" s="19"/>
      <c r="H47" s="24"/>
      <c r="I47" s="18"/>
      <c r="J47" s="17"/>
      <c r="K47" s="19"/>
      <c r="L47" s="18"/>
    </row>
    <row r="48" spans="1:12" ht="14.25" hidden="1" customHeight="1" outlineLevel="1">
      <c r="A48" s="22"/>
      <c r="B48" s="23"/>
      <c r="C48" s="17"/>
      <c r="D48" s="18"/>
      <c r="E48" s="18"/>
      <c r="F48" s="18"/>
      <c r="G48" s="19"/>
      <c r="H48" s="24"/>
      <c r="I48" s="18"/>
      <c r="J48" s="17"/>
      <c r="K48" s="19"/>
      <c r="L48" s="18"/>
    </row>
    <row r="49" spans="1:12" ht="14.25" hidden="1" customHeight="1" outlineLevel="1">
      <c r="A49" s="22"/>
      <c r="B49" s="23"/>
      <c r="C49" s="17"/>
      <c r="D49" s="18"/>
      <c r="E49" s="18"/>
      <c r="F49" s="18"/>
      <c r="G49" s="19"/>
      <c r="H49" s="24"/>
      <c r="I49" s="18"/>
      <c r="J49" s="17"/>
      <c r="K49" s="19"/>
      <c r="L49" s="18"/>
    </row>
    <row r="50" spans="1:12" ht="14.25" hidden="1" customHeight="1" outlineLevel="1">
      <c r="A50" s="22"/>
      <c r="B50" s="23"/>
      <c r="C50" s="17"/>
      <c r="D50" s="18"/>
      <c r="E50" s="18"/>
      <c r="F50" s="18"/>
      <c r="G50" s="19"/>
      <c r="H50" s="24"/>
      <c r="I50" s="18"/>
      <c r="J50" s="17"/>
      <c r="K50" s="19"/>
      <c r="L50" s="18"/>
    </row>
    <row r="51" spans="1:12" ht="14.25" hidden="1" customHeight="1" outlineLevel="1">
      <c r="A51" s="22"/>
      <c r="B51" s="23"/>
      <c r="C51" s="17"/>
      <c r="D51" s="18"/>
      <c r="E51" s="18"/>
      <c r="F51" s="18"/>
      <c r="G51" s="19"/>
      <c r="H51" s="24"/>
      <c r="I51" s="18"/>
      <c r="J51" s="17"/>
      <c r="K51" s="19"/>
      <c r="L51" s="18"/>
    </row>
    <row r="52" spans="1:12" ht="14.25" hidden="1" customHeight="1" outlineLevel="1">
      <c r="A52" s="22"/>
      <c r="B52" s="23"/>
      <c r="C52" s="17"/>
      <c r="D52" s="18"/>
      <c r="E52" s="18"/>
      <c r="F52" s="18"/>
      <c r="G52" s="19"/>
      <c r="H52" s="24"/>
      <c r="I52" s="18"/>
      <c r="J52" s="17"/>
      <c r="K52" s="19"/>
      <c r="L52" s="18"/>
    </row>
    <row r="53" spans="1:12" ht="14.25" hidden="1" customHeight="1" outlineLevel="1">
      <c r="A53" s="22"/>
      <c r="B53" s="23"/>
      <c r="C53" s="17"/>
      <c r="D53" s="18"/>
      <c r="E53" s="18"/>
      <c r="F53" s="18"/>
      <c r="G53" s="19"/>
      <c r="H53" s="24"/>
      <c r="I53" s="18"/>
      <c r="J53" s="17"/>
      <c r="K53" s="19"/>
      <c r="L53" s="18"/>
    </row>
    <row r="54" spans="1:12" ht="14.25" hidden="1" customHeight="1" outlineLevel="1">
      <c r="A54" s="22"/>
      <c r="B54" s="23"/>
      <c r="C54" s="17"/>
      <c r="D54" s="18"/>
      <c r="E54" s="18"/>
      <c r="F54" s="18"/>
      <c r="G54" s="19"/>
      <c r="H54" s="24"/>
      <c r="I54" s="18"/>
      <c r="J54" s="17"/>
      <c r="K54" s="19"/>
      <c r="L54" s="18"/>
    </row>
    <row r="55" spans="1:12" ht="14.25" hidden="1" customHeight="1" outlineLevel="1">
      <c r="A55" s="22"/>
      <c r="B55" s="23"/>
      <c r="C55" s="17"/>
      <c r="D55" s="18"/>
      <c r="E55" s="18"/>
      <c r="F55" s="18"/>
      <c r="G55" s="19"/>
      <c r="H55" s="24"/>
      <c r="I55" s="18"/>
      <c r="J55" s="17"/>
      <c r="K55" s="19"/>
      <c r="L55" s="18"/>
    </row>
    <row r="56" spans="1:12" ht="14.25" hidden="1" customHeight="1" outlineLevel="1">
      <c r="A56" s="22"/>
      <c r="B56" s="23"/>
      <c r="C56" s="17"/>
      <c r="D56" s="18"/>
      <c r="E56" s="18"/>
      <c r="F56" s="18"/>
      <c r="G56" s="19"/>
      <c r="H56" s="24"/>
      <c r="I56" s="18"/>
      <c r="J56" s="17"/>
      <c r="K56" s="19"/>
      <c r="L56" s="18"/>
    </row>
    <row r="57" spans="1:12" ht="14.25" hidden="1" customHeight="1" outlineLevel="1">
      <c r="A57" s="22"/>
      <c r="B57" s="23"/>
      <c r="C57" s="17"/>
      <c r="D57" s="18"/>
      <c r="E57" s="18"/>
      <c r="F57" s="18"/>
      <c r="G57" s="19"/>
      <c r="H57" s="24"/>
      <c r="I57" s="18"/>
      <c r="J57" s="17"/>
      <c r="K57" s="19"/>
      <c r="L57" s="18"/>
    </row>
    <row r="58" spans="1:12" ht="14.25" hidden="1" customHeight="1" outlineLevel="1">
      <c r="A58" s="22"/>
      <c r="B58" s="23"/>
      <c r="C58" s="17"/>
      <c r="D58" s="18"/>
      <c r="E58" s="18"/>
      <c r="F58" s="18"/>
      <c r="G58" s="19"/>
      <c r="H58" s="24"/>
      <c r="I58" s="18"/>
      <c r="J58" s="17"/>
      <c r="K58" s="19"/>
      <c r="L58" s="18"/>
    </row>
    <row r="59" spans="1:12" ht="14.25" hidden="1" customHeight="1" outlineLevel="1">
      <c r="A59" s="22"/>
      <c r="B59" s="23"/>
      <c r="C59" s="17"/>
      <c r="D59" s="18"/>
      <c r="E59" s="18"/>
      <c r="F59" s="18"/>
      <c r="G59" s="19"/>
      <c r="H59" s="24"/>
      <c r="I59" s="18"/>
      <c r="J59" s="17"/>
      <c r="K59" s="19"/>
      <c r="L59" s="18"/>
    </row>
    <row r="60" spans="1:12" ht="14.25" hidden="1" customHeight="1" outlineLevel="1">
      <c r="A60" s="22"/>
      <c r="B60" s="23"/>
      <c r="C60" s="17"/>
      <c r="D60" s="18"/>
      <c r="E60" s="18"/>
      <c r="F60" s="18"/>
      <c r="G60" s="19"/>
      <c r="H60" s="24"/>
      <c r="I60" s="18"/>
      <c r="J60" s="17"/>
      <c r="K60" s="19"/>
      <c r="L60" s="18"/>
    </row>
    <row r="61" spans="1:12" ht="14.25" hidden="1" customHeight="1" outlineLevel="1">
      <c r="A61" s="22"/>
      <c r="B61" s="23"/>
      <c r="C61" s="17"/>
      <c r="D61" s="18"/>
      <c r="E61" s="18"/>
      <c r="F61" s="18"/>
      <c r="G61" s="19"/>
      <c r="H61" s="24"/>
      <c r="I61" s="18"/>
      <c r="J61" s="17"/>
      <c r="K61" s="19"/>
      <c r="L61" s="18"/>
    </row>
    <row r="62" spans="1:12" ht="14.25" hidden="1" customHeight="1" outlineLevel="1">
      <c r="A62" s="22"/>
      <c r="B62" s="23"/>
      <c r="C62" s="17"/>
      <c r="D62" s="18"/>
      <c r="E62" s="18"/>
      <c r="F62" s="18"/>
      <c r="G62" s="19"/>
      <c r="H62" s="24"/>
      <c r="I62" s="18"/>
      <c r="J62" s="17"/>
      <c r="K62" s="19"/>
      <c r="L62" s="18"/>
    </row>
    <row r="63" spans="1:12" ht="14.25" hidden="1" customHeight="1" outlineLevel="1">
      <c r="A63" s="22"/>
      <c r="B63" s="23"/>
      <c r="C63" s="17"/>
      <c r="D63" s="18"/>
      <c r="E63" s="18"/>
      <c r="F63" s="18"/>
      <c r="G63" s="19"/>
      <c r="H63" s="24"/>
      <c r="I63" s="18"/>
      <c r="J63" s="17"/>
      <c r="K63" s="19"/>
      <c r="L63" s="18"/>
    </row>
    <row r="64" spans="1:12" ht="14.25" hidden="1" customHeight="1" outlineLevel="1">
      <c r="A64" s="22"/>
      <c r="B64" s="23"/>
      <c r="C64" s="17"/>
      <c r="D64" s="18"/>
      <c r="E64" s="18"/>
      <c r="F64" s="18"/>
      <c r="G64" s="19"/>
      <c r="H64" s="24"/>
      <c r="I64" s="18"/>
      <c r="J64" s="17"/>
      <c r="K64" s="19"/>
      <c r="L64" s="18"/>
    </row>
    <row r="65" spans="1:12" ht="14.25" hidden="1" customHeight="1" outlineLevel="1">
      <c r="A65" s="22"/>
      <c r="B65" s="23"/>
      <c r="C65" s="17"/>
      <c r="D65" s="18"/>
      <c r="E65" s="18"/>
      <c r="F65" s="18"/>
      <c r="G65" s="19"/>
      <c r="H65" s="24"/>
      <c r="I65" s="18"/>
      <c r="J65" s="17"/>
      <c r="K65" s="19"/>
      <c r="L65" s="18"/>
    </row>
    <row r="66" spans="1:12" ht="14.25" hidden="1" customHeight="1" outlineLevel="1">
      <c r="A66" s="22"/>
      <c r="B66" s="23"/>
      <c r="C66" s="17"/>
      <c r="D66" s="18"/>
      <c r="E66" s="18"/>
      <c r="F66" s="18"/>
      <c r="G66" s="19"/>
      <c r="H66" s="24"/>
      <c r="I66" s="18"/>
      <c r="J66" s="17"/>
      <c r="K66" s="19"/>
      <c r="L66" s="18"/>
    </row>
    <row r="67" spans="1:12" ht="14.25" hidden="1" customHeight="1" outlineLevel="1">
      <c r="A67" s="22"/>
      <c r="B67" s="23"/>
      <c r="C67" s="17"/>
      <c r="D67" s="18"/>
      <c r="E67" s="18"/>
      <c r="F67" s="18"/>
      <c r="G67" s="19"/>
      <c r="H67" s="24"/>
      <c r="I67" s="18"/>
      <c r="J67" s="17"/>
      <c r="K67" s="19"/>
      <c r="L67" s="18"/>
    </row>
    <row r="68" spans="1:12" ht="14.25" hidden="1" customHeight="1" outlineLevel="1">
      <c r="A68" s="22"/>
      <c r="B68" s="23"/>
      <c r="C68" s="17"/>
      <c r="D68" s="18"/>
      <c r="E68" s="18"/>
      <c r="F68" s="18"/>
      <c r="G68" s="19"/>
      <c r="H68" s="24"/>
      <c r="I68" s="18"/>
      <c r="J68" s="17"/>
      <c r="K68" s="19"/>
      <c r="L68" s="18"/>
    </row>
    <row r="69" spans="1:12" ht="14.25" hidden="1" customHeight="1" outlineLevel="1">
      <c r="A69" s="22"/>
      <c r="B69" s="23"/>
      <c r="C69" s="17"/>
      <c r="D69" s="18"/>
      <c r="E69" s="18"/>
      <c r="F69" s="18"/>
      <c r="G69" s="19"/>
      <c r="H69" s="24"/>
      <c r="I69" s="18"/>
      <c r="J69" s="17"/>
      <c r="K69" s="19"/>
      <c r="L69" s="18"/>
    </row>
    <row r="70" spans="1:12" ht="14.25" hidden="1" customHeight="1" outlineLevel="1">
      <c r="A70" s="22"/>
      <c r="B70" s="23"/>
      <c r="C70" s="17"/>
      <c r="D70" s="18"/>
      <c r="E70" s="18"/>
      <c r="F70" s="18"/>
      <c r="G70" s="19"/>
      <c r="H70" s="24"/>
      <c r="I70" s="18"/>
      <c r="J70" s="17"/>
      <c r="K70" s="19"/>
      <c r="L70" s="18"/>
    </row>
    <row r="71" spans="1:12" ht="14.25" hidden="1" customHeight="1" outlineLevel="1">
      <c r="A71" s="22"/>
      <c r="B71" s="23"/>
      <c r="C71" s="17"/>
      <c r="D71" s="18"/>
      <c r="E71" s="18"/>
      <c r="F71" s="18"/>
      <c r="G71" s="19"/>
      <c r="H71" s="24"/>
      <c r="I71" s="18"/>
      <c r="J71" s="17"/>
      <c r="K71" s="19"/>
      <c r="L71" s="18"/>
    </row>
    <row r="72" spans="1:12" ht="14.25" hidden="1" customHeight="1" outlineLevel="1">
      <c r="A72" s="22"/>
      <c r="B72" s="23"/>
      <c r="C72" s="17"/>
      <c r="D72" s="18"/>
      <c r="E72" s="18"/>
      <c r="F72" s="18"/>
      <c r="G72" s="19"/>
      <c r="H72" s="24"/>
      <c r="I72" s="18"/>
      <c r="J72" s="17"/>
      <c r="K72" s="19"/>
      <c r="L72" s="18"/>
    </row>
    <row r="73" spans="1:12" ht="14.25" hidden="1" customHeight="1" outlineLevel="1">
      <c r="A73" s="22"/>
      <c r="B73" s="23"/>
      <c r="C73" s="17"/>
      <c r="D73" s="18"/>
      <c r="E73" s="18"/>
      <c r="F73" s="18"/>
      <c r="G73" s="19"/>
      <c r="H73" s="24"/>
      <c r="I73" s="18"/>
      <c r="J73" s="17"/>
      <c r="K73" s="19"/>
      <c r="L73" s="18"/>
    </row>
    <row r="74" spans="1:12" ht="14.25" hidden="1" customHeight="1" outlineLevel="1">
      <c r="A74" s="22"/>
      <c r="B74" s="23"/>
      <c r="C74" s="17"/>
      <c r="D74" s="18"/>
      <c r="E74" s="18"/>
      <c r="F74" s="18"/>
      <c r="G74" s="19"/>
      <c r="H74" s="24"/>
      <c r="I74" s="18"/>
      <c r="J74" s="17"/>
      <c r="K74" s="19"/>
      <c r="L74" s="18"/>
    </row>
    <row r="75" spans="1:12" ht="14.25" hidden="1" customHeight="1" outlineLevel="1">
      <c r="A75" s="22"/>
      <c r="B75" s="23"/>
      <c r="C75" s="17"/>
      <c r="D75" s="18"/>
      <c r="E75" s="18"/>
      <c r="F75" s="18"/>
      <c r="G75" s="19"/>
      <c r="H75" s="24"/>
      <c r="I75" s="18"/>
      <c r="J75" s="17"/>
      <c r="K75" s="19"/>
      <c r="L75" s="18"/>
    </row>
    <row r="76" spans="1:12" ht="14.25" hidden="1" customHeight="1" outlineLevel="1">
      <c r="A76" s="22"/>
      <c r="B76" s="23"/>
      <c r="C76" s="17"/>
      <c r="D76" s="18"/>
      <c r="E76" s="18"/>
      <c r="F76" s="18"/>
      <c r="G76" s="19"/>
      <c r="H76" s="24"/>
      <c r="I76" s="18"/>
      <c r="J76" s="17"/>
      <c r="K76" s="19"/>
      <c r="L76" s="18"/>
    </row>
    <row r="77" spans="1:12" ht="14.25" hidden="1" customHeight="1" outlineLevel="1">
      <c r="A77" s="22"/>
      <c r="B77" s="23"/>
      <c r="C77" s="17"/>
      <c r="D77" s="18"/>
      <c r="E77" s="18"/>
      <c r="F77" s="18"/>
      <c r="G77" s="19"/>
      <c r="H77" s="24"/>
      <c r="I77" s="18"/>
      <c r="J77" s="17"/>
      <c r="K77" s="19"/>
      <c r="L77" s="18"/>
    </row>
    <row r="78" spans="1:12" ht="14.25" hidden="1" customHeight="1" outlineLevel="1">
      <c r="A78" s="22"/>
      <c r="B78" s="23"/>
      <c r="C78" s="17"/>
      <c r="D78" s="18"/>
      <c r="E78" s="18"/>
      <c r="F78" s="18"/>
      <c r="G78" s="19"/>
      <c r="H78" s="24"/>
      <c r="I78" s="18"/>
      <c r="J78" s="17"/>
      <c r="K78" s="19"/>
      <c r="L78" s="18"/>
    </row>
    <row r="79" spans="1:12" ht="14.25" hidden="1" customHeight="1" outlineLevel="1">
      <c r="A79" s="22"/>
      <c r="B79" s="23"/>
      <c r="C79" s="17"/>
      <c r="D79" s="18"/>
      <c r="E79" s="18"/>
      <c r="F79" s="18"/>
      <c r="G79" s="19"/>
      <c r="H79" s="24"/>
      <c r="I79" s="18"/>
      <c r="J79" s="17"/>
      <c r="K79" s="19"/>
      <c r="L79" s="18"/>
    </row>
    <row r="80" spans="1:12" ht="14.25" hidden="1" customHeight="1" outlineLevel="1">
      <c r="A80" s="22"/>
      <c r="B80" s="23"/>
      <c r="C80" s="17"/>
      <c r="D80" s="18"/>
      <c r="E80" s="18"/>
      <c r="F80" s="18"/>
      <c r="G80" s="19"/>
      <c r="H80" s="24"/>
      <c r="I80" s="18"/>
      <c r="J80" s="17"/>
      <c r="K80" s="19"/>
      <c r="L80" s="18"/>
    </row>
    <row r="81" spans="1:12" ht="14.25" hidden="1" customHeight="1" outlineLevel="1">
      <c r="A81" s="22"/>
      <c r="B81" s="23"/>
      <c r="C81" s="17"/>
      <c r="D81" s="18"/>
      <c r="E81" s="18"/>
      <c r="F81" s="18"/>
      <c r="G81" s="19"/>
      <c r="H81" s="24"/>
      <c r="I81" s="18"/>
      <c r="J81" s="17"/>
      <c r="K81" s="19"/>
      <c r="L81" s="18"/>
    </row>
    <row r="82" spans="1:12" ht="14.25" hidden="1" customHeight="1" outlineLevel="1">
      <c r="A82" s="22"/>
      <c r="B82" s="23"/>
      <c r="C82" s="17"/>
      <c r="D82" s="18"/>
      <c r="E82" s="18"/>
      <c r="F82" s="18"/>
      <c r="G82" s="19"/>
      <c r="H82" s="24"/>
      <c r="I82" s="18"/>
      <c r="J82" s="17"/>
      <c r="K82" s="19"/>
      <c r="L82" s="18"/>
    </row>
    <row r="83" spans="1:12" ht="14.25" hidden="1" customHeight="1" outlineLevel="1">
      <c r="A83" s="22"/>
      <c r="B83" s="23"/>
      <c r="C83" s="17"/>
      <c r="D83" s="18"/>
      <c r="E83" s="18"/>
      <c r="F83" s="18"/>
      <c r="G83" s="19"/>
      <c r="H83" s="24"/>
      <c r="I83" s="18"/>
      <c r="J83" s="17"/>
      <c r="K83" s="19"/>
      <c r="L83" s="18"/>
    </row>
    <row r="84" spans="1:12" ht="14.25" hidden="1" customHeight="1" outlineLevel="1">
      <c r="A84" s="22"/>
      <c r="B84" s="23"/>
      <c r="C84" s="17"/>
      <c r="D84" s="18"/>
      <c r="E84" s="18"/>
      <c r="F84" s="18"/>
      <c r="G84" s="19"/>
      <c r="H84" s="24"/>
      <c r="I84" s="18"/>
      <c r="J84" s="17"/>
      <c r="K84" s="19"/>
      <c r="L84" s="18"/>
    </row>
    <row r="85" spans="1:12" ht="14.25" hidden="1" customHeight="1" outlineLevel="1">
      <c r="A85" s="22"/>
      <c r="B85" s="23"/>
      <c r="C85" s="17"/>
      <c r="D85" s="18"/>
      <c r="E85" s="18"/>
      <c r="F85" s="18"/>
      <c r="G85" s="19"/>
      <c r="H85" s="24"/>
      <c r="I85" s="18"/>
      <c r="J85" s="17"/>
      <c r="K85" s="19"/>
      <c r="L85" s="18"/>
    </row>
    <row r="86" spans="1:12" ht="14.25" hidden="1" customHeight="1" outlineLevel="1">
      <c r="A86" s="22"/>
      <c r="B86" s="23"/>
      <c r="C86" s="17"/>
      <c r="D86" s="18"/>
      <c r="E86" s="18"/>
      <c r="F86" s="18"/>
      <c r="G86" s="19"/>
      <c r="H86" s="24"/>
      <c r="I86" s="18"/>
      <c r="J86" s="17"/>
      <c r="K86" s="19"/>
      <c r="L86" s="18"/>
    </row>
    <row r="87" spans="1:12" ht="14.25" hidden="1" customHeight="1" outlineLevel="1">
      <c r="A87" s="22"/>
      <c r="B87" s="23"/>
      <c r="C87" s="17"/>
      <c r="D87" s="18"/>
      <c r="E87" s="18"/>
      <c r="F87" s="18"/>
      <c r="G87" s="19"/>
      <c r="H87" s="24"/>
      <c r="I87" s="18"/>
      <c r="J87" s="17"/>
      <c r="K87" s="19"/>
      <c r="L87" s="18"/>
    </row>
    <row r="88" spans="1:12" ht="14.25" hidden="1" customHeight="1" outlineLevel="1">
      <c r="A88" s="22"/>
      <c r="B88" s="23"/>
      <c r="C88" s="17"/>
      <c r="D88" s="18"/>
      <c r="E88" s="18"/>
      <c r="F88" s="18"/>
      <c r="G88" s="19"/>
      <c r="H88" s="24"/>
      <c r="I88" s="18"/>
      <c r="J88" s="17"/>
      <c r="K88" s="19"/>
      <c r="L88" s="18"/>
    </row>
    <row r="89" spans="1:12" ht="14.25" hidden="1" customHeight="1" outlineLevel="1">
      <c r="A89" s="22"/>
      <c r="B89" s="23"/>
      <c r="C89" s="17"/>
      <c r="D89" s="18"/>
      <c r="E89" s="18"/>
      <c r="F89" s="18"/>
      <c r="G89" s="19"/>
      <c r="H89" s="24"/>
      <c r="I89" s="18"/>
      <c r="J89" s="17"/>
      <c r="K89" s="19"/>
      <c r="L89" s="18"/>
    </row>
    <row r="90" spans="1:12" ht="14.25" hidden="1" customHeight="1" outlineLevel="1">
      <c r="A90" s="22"/>
      <c r="B90" s="23"/>
      <c r="C90" s="17"/>
      <c r="D90" s="18"/>
      <c r="E90" s="18"/>
      <c r="F90" s="18"/>
      <c r="G90" s="19"/>
      <c r="H90" s="24"/>
      <c r="I90" s="18"/>
      <c r="J90" s="17"/>
      <c r="K90" s="19"/>
      <c r="L90" s="18"/>
    </row>
    <row r="91" spans="1:12" ht="14.25" hidden="1" customHeight="1" outlineLevel="1">
      <c r="A91" s="22"/>
      <c r="B91" s="23"/>
      <c r="C91" s="17"/>
      <c r="D91" s="18"/>
      <c r="E91" s="18"/>
      <c r="F91" s="18"/>
      <c r="G91" s="19"/>
      <c r="H91" s="24"/>
      <c r="I91" s="18"/>
      <c r="J91" s="17"/>
      <c r="K91" s="19"/>
      <c r="L91" s="18"/>
    </row>
    <row r="92" spans="1:12" ht="14.25" hidden="1" customHeight="1" outlineLevel="1">
      <c r="A92" s="22"/>
      <c r="B92" s="23"/>
      <c r="C92" s="17"/>
      <c r="D92" s="18"/>
      <c r="E92" s="18"/>
      <c r="F92" s="18"/>
      <c r="G92" s="19"/>
      <c r="H92" s="24"/>
      <c r="I92" s="18"/>
      <c r="J92" s="17"/>
      <c r="K92" s="19"/>
      <c r="L92" s="18"/>
    </row>
    <row r="93" spans="1:12" ht="14.25" hidden="1" customHeight="1" outlineLevel="1">
      <c r="A93" s="22"/>
      <c r="B93" s="23"/>
      <c r="C93" s="17"/>
      <c r="D93" s="18"/>
      <c r="E93" s="18"/>
      <c r="F93" s="18"/>
      <c r="G93" s="19"/>
      <c r="H93" s="24"/>
      <c r="I93" s="18"/>
      <c r="J93" s="17"/>
      <c r="K93" s="19"/>
      <c r="L93" s="18"/>
    </row>
    <row r="94" spans="1:12" ht="14.25" hidden="1" customHeight="1" outlineLevel="1">
      <c r="A94" s="22"/>
      <c r="B94" s="23"/>
      <c r="C94" s="17"/>
      <c r="D94" s="18"/>
      <c r="E94" s="18"/>
      <c r="F94" s="18"/>
      <c r="G94" s="19"/>
      <c r="H94" s="24"/>
      <c r="I94" s="18"/>
      <c r="J94" s="17"/>
      <c r="K94" s="19"/>
      <c r="L94" s="18"/>
    </row>
    <row r="95" spans="1:12" ht="14.25" hidden="1" customHeight="1" outlineLevel="1">
      <c r="A95" s="22"/>
      <c r="B95" s="23"/>
      <c r="C95" s="17"/>
      <c r="D95" s="18"/>
      <c r="E95" s="18"/>
      <c r="F95" s="18"/>
      <c r="G95" s="19"/>
      <c r="H95" s="24"/>
      <c r="I95" s="18"/>
      <c r="J95" s="17"/>
      <c r="K95" s="19"/>
      <c r="L95" s="18"/>
    </row>
    <row r="96" spans="1:12" ht="14.25" hidden="1" customHeight="1" outlineLevel="1">
      <c r="A96" s="22"/>
      <c r="B96" s="23"/>
      <c r="C96" s="17"/>
      <c r="D96" s="18"/>
      <c r="E96" s="18"/>
      <c r="F96" s="18"/>
      <c r="G96" s="19"/>
      <c r="H96" s="24"/>
      <c r="I96" s="18"/>
      <c r="J96" s="17"/>
      <c r="K96" s="19"/>
      <c r="L96" s="18"/>
    </row>
    <row r="97" spans="1:12" ht="14.25" hidden="1" customHeight="1" outlineLevel="1">
      <c r="A97" s="22"/>
      <c r="B97" s="23"/>
      <c r="C97" s="17"/>
      <c r="D97" s="18"/>
      <c r="E97" s="18"/>
      <c r="F97" s="18"/>
      <c r="G97" s="19"/>
      <c r="H97" s="24"/>
      <c r="I97" s="18"/>
      <c r="J97" s="17"/>
      <c r="K97" s="19"/>
      <c r="L97" s="18"/>
    </row>
    <row r="98" spans="1:12" ht="14.25" hidden="1" customHeight="1" outlineLevel="1">
      <c r="A98" s="22"/>
      <c r="B98" s="23"/>
      <c r="C98" s="17"/>
      <c r="D98" s="18"/>
      <c r="E98" s="18"/>
      <c r="F98" s="18"/>
      <c r="G98" s="19"/>
      <c r="H98" s="24"/>
      <c r="I98" s="18"/>
      <c r="J98" s="17"/>
      <c r="K98" s="19"/>
      <c r="L98" s="18"/>
    </row>
    <row r="99" spans="1:12" ht="14.25" hidden="1" customHeight="1" outlineLevel="1">
      <c r="A99" s="22"/>
      <c r="B99" s="23"/>
      <c r="C99" s="17"/>
      <c r="D99" s="18"/>
      <c r="E99" s="18"/>
      <c r="F99" s="18"/>
      <c r="G99" s="19"/>
      <c r="H99" s="24"/>
      <c r="I99" s="18"/>
      <c r="J99" s="17"/>
      <c r="K99" s="19"/>
      <c r="L99" s="18"/>
    </row>
    <row r="100" spans="1:12" ht="14.25" hidden="1" customHeight="1" outlineLevel="1">
      <c r="A100" s="22"/>
      <c r="B100" s="23"/>
      <c r="C100" s="17"/>
      <c r="D100" s="18"/>
      <c r="E100" s="18"/>
      <c r="F100" s="18"/>
      <c r="G100" s="19"/>
      <c r="H100" s="24"/>
      <c r="I100" s="18"/>
      <c r="J100" s="17"/>
      <c r="K100" s="19"/>
      <c r="L100" s="18"/>
    </row>
    <row r="101" spans="1:12" ht="14.25" hidden="1" customHeight="1" outlineLevel="1">
      <c r="A101" s="22"/>
      <c r="B101" s="23"/>
      <c r="C101" s="17"/>
      <c r="D101" s="18"/>
      <c r="E101" s="18"/>
      <c r="F101" s="18"/>
      <c r="G101" s="19"/>
      <c r="H101" s="24"/>
      <c r="I101" s="18"/>
      <c r="J101" s="17"/>
      <c r="K101" s="19"/>
      <c r="L101" s="18"/>
    </row>
    <row r="102" spans="1:12" ht="14.25" hidden="1" customHeight="1" outlineLevel="1">
      <c r="A102" s="22"/>
      <c r="B102" s="23"/>
      <c r="C102" s="17"/>
      <c r="D102" s="18"/>
      <c r="E102" s="18"/>
      <c r="F102" s="18"/>
      <c r="G102" s="19"/>
      <c r="H102" s="24"/>
      <c r="I102" s="18"/>
      <c r="J102" s="17"/>
      <c r="K102" s="19"/>
      <c r="L102" s="18"/>
    </row>
    <row r="103" spans="1:12" ht="14.25" hidden="1" customHeight="1" outlineLevel="1">
      <c r="A103" s="22"/>
      <c r="B103" s="23"/>
      <c r="C103" s="17"/>
      <c r="D103" s="18"/>
      <c r="E103" s="18"/>
      <c r="F103" s="18"/>
      <c r="G103" s="19"/>
      <c r="H103" s="24"/>
      <c r="I103" s="18"/>
      <c r="J103" s="17"/>
      <c r="K103" s="19"/>
      <c r="L103" s="18"/>
    </row>
    <row r="104" spans="1:12" ht="14.25" hidden="1" customHeight="1" outlineLevel="1">
      <c r="A104" s="22"/>
      <c r="B104" s="23"/>
      <c r="C104" s="17"/>
      <c r="D104" s="18"/>
      <c r="E104" s="18"/>
      <c r="F104" s="18"/>
      <c r="G104" s="19"/>
      <c r="H104" s="24"/>
      <c r="I104" s="18"/>
      <c r="J104" s="17"/>
      <c r="K104" s="19"/>
      <c r="L104" s="18"/>
    </row>
    <row r="105" spans="1:12" ht="14.25" hidden="1" customHeight="1" outlineLevel="1">
      <c r="A105" s="22"/>
      <c r="B105" s="23"/>
      <c r="C105" s="17"/>
      <c r="D105" s="18"/>
      <c r="E105" s="18"/>
      <c r="F105" s="18"/>
      <c r="G105" s="19"/>
      <c r="H105" s="24"/>
      <c r="I105" s="18"/>
      <c r="J105" s="17"/>
      <c r="K105" s="19"/>
      <c r="L105" s="18"/>
    </row>
    <row r="106" spans="1:12" ht="14.25" hidden="1" customHeight="1" outlineLevel="1">
      <c r="A106" s="22"/>
      <c r="B106" s="23"/>
      <c r="C106" s="17"/>
      <c r="D106" s="18"/>
      <c r="E106" s="18"/>
      <c r="F106" s="18"/>
      <c r="G106" s="19"/>
      <c r="H106" s="24"/>
      <c r="I106" s="18"/>
      <c r="J106" s="17"/>
      <c r="K106" s="19"/>
      <c r="L106" s="18"/>
    </row>
    <row r="107" spans="1:12" ht="14.25" hidden="1" customHeight="1" outlineLevel="1">
      <c r="A107" s="22"/>
      <c r="B107" s="23"/>
      <c r="C107" s="17"/>
      <c r="D107" s="18"/>
      <c r="E107" s="18"/>
      <c r="F107" s="18"/>
      <c r="G107" s="19"/>
      <c r="H107" s="24"/>
      <c r="I107" s="18"/>
      <c r="J107" s="17"/>
      <c r="K107" s="19"/>
      <c r="L107" s="18"/>
    </row>
    <row r="108" spans="1:12" ht="14.25" hidden="1" customHeight="1" outlineLevel="1">
      <c r="A108" s="22"/>
      <c r="B108" s="23"/>
      <c r="C108" s="17"/>
      <c r="D108" s="18"/>
      <c r="E108" s="18"/>
      <c r="F108" s="18"/>
      <c r="G108" s="19"/>
      <c r="H108" s="24"/>
      <c r="I108" s="18"/>
      <c r="J108" s="17"/>
      <c r="K108" s="19"/>
      <c r="L108" s="18"/>
    </row>
    <row r="109" spans="1:12" ht="14.25" hidden="1" customHeight="1" outlineLevel="1">
      <c r="A109" s="22"/>
      <c r="B109" s="23"/>
      <c r="C109" s="17"/>
      <c r="D109" s="18"/>
      <c r="E109" s="18"/>
      <c r="F109" s="18"/>
      <c r="G109" s="19"/>
      <c r="H109" s="24"/>
      <c r="I109" s="18"/>
      <c r="J109" s="17"/>
      <c r="K109" s="19"/>
      <c r="L109" s="18"/>
    </row>
    <row r="110" spans="1:12" ht="14.25" hidden="1" customHeight="1" outlineLevel="1">
      <c r="A110" s="22"/>
      <c r="B110" s="23"/>
      <c r="C110" s="17"/>
      <c r="D110" s="18"/>
      <c r="E110" s="18"/>
      <c r="F110" s="18"/>
      <c r="G110" s="19"/>
      <c r="H110" s="24"/>
      <c r="I110" s="18"/>
      <c r="J110" s="17"/>
      <c r="K110" s="19"/>
      <c r="L110" s="18"/>
    </row>
    <row r="111" spans="1:12" ht="14.25" hidden="1" customHeight="1" outlineLevel="1">
      <c r="A111" s="22"/>
      <c r="B111" s="23"/>
      <c r="C111" s="17"/>
      <c r="D111" s="18"/>
      <c r="E111" s="18"/>
      <c r="F111" s="18"/>
      <c r="G111" s="19"/>
      <c r="H111" s="24"/>
      <c r="I111" s="18"/>
      <c r="J111" s="17"/>
      <c r="K111" s="19"/>
      <c r="L111" s="18"/>
    </row>
    <row r="112" spans="1:12" ht="14.25" hidden="1" customHeight="1" outlineLevel="1">
      <c r="A112" s="22"/>
      <c r="B112" s="23"/>
      <c r="C112" s="17"/>
      <c r="D112" s="18"/>
      <c r="E112" s="18"/>
      <c r="F112" s="18"/>
      <c r="G112" s="19"/>
      <c r="H112" s="24"/>
      <c r="I112" s="18"/>
      <c r="J112" s="17"/>
      <c r="K112" s="19"/>
      <c r="L112" s="18"/>
    </row>
    <row r="113" spans="1:12" ht="14.25" hidden="1" customHeight="1" outlineLevel="1">
      <c r="A113" s="22"/>
      <c r="B113" s="23"/>
      <c r="C113" s="17"/>
      <c r="D113" s="18"/>
      <c r="E113" s="18"/>
      <c r="F113" s="18"/>
      <c r="G113" s="19"/>
      <c r="H113" s="24"/>
      <c r="I113" s="18"/>
      <c r="J113" s="17"/>
      <c r="K113" s="19"/>
      <c r="L113" s="18"/>
    </row>
    <row r="114" spans="1:12" ht="14.25" hidden="1" customHeight="1" outlineLevel="1">
      <c r="A114" s="22"/>
      <c r="B114" s="23"/>
      <c r="C114" s="17"/>
      <c r="D114" s="18"/>
      <c r="E114" s="18"/>
      <c r="F114" s="18"/>
      <c r="G114" s="19"/>
      <c r="H114" s="24"/>
      <c r="I114" s="18"/>
      <c r="J114" s="17"/>
      <c r="K114" s="19"/>
      <c r="L114" s="18"/>
    </row>
    <row r="115" spans="1:12" ht="14.25" hidden="1" customHeight="1" outlineLevel="1">
      <c r="A115" s="22"/>
      <c r="B115" s="23"/>
      <c r="C115" s="17"/>
      <c r="D115" s="18"/>
      <c r="E115" s="18"/>
      <c r="F115" s="18"/>
      <c r="G115" s="19"/>
      <c r="H115" s="24"/>
      <c r="I115" s="18"/>
      <c r="J115" s="17"/>
      <c r="K115" s="19"/>
      <c r="L115" s="18"/>
    </row>
    <row r="116" spans="1:12" ht="14.25" hidden="1" customHeight="1" outlineLevel="1">
      <c r="A116" s="22"/>
      <c r="B116" s="23"/>
      <c r="C116" s="17"/>
      <c r="D116" s="18"/>
      <c r="E116" s="18"/>
      <c r="F116" s="18"/>
      <c r="G116" s="19"/>
      <c r="H116" s="24"/>
      <c r="I116" s="18"/>
      <c r="J116" s="17"/>
      <c r="K116" s="19"/>
      <c r="L116" s="18"/>
    </row>
    <row r="117" spans="1:12" ht="14.25" hidden="1" customHeight="1" outlineLevel="1">
      <c r="A117" s="22"/>
      <c r="B117" s="23"/>
      <c r="C117" s="17"/>
      <c r="D117" s="18"/>
      <c r="E117" s="18"/>
      <c r="F117" s="18"/>
      <c r="G117" s="19"/>
      <c r="H117" s="24"/>
      <c r="I117" s="18"/>
      <c r="J117" s="17"/>
      <c r="K117" s="19"/>
      <c r="L117" s="18"/>
    </row>
    <row r="118" spans="1:12" ht="14.25" hidden="1" customHeight="1" outlineLevel="1">
      <c r="A118" s="22"/>
      <c r="B118" s="23"/>
      <c r="C118" s="17"/>
      <c r="D118" s="18"/>
      <c r="E118" s="18"/>
      <c r="F118" s="18"/>
      <c r="G118" s="19"/>
      <c r="H118" s="24"/>
      <c r="I118" s="18"/>
      <c r="J118" s="17"/>
      <c r="K118" s="19"/>
      <c r="L118" s="18"/>
    </row>
    <row r="119" spans="1:12" ht="14.25" hidden="1" customHeight="1" outlineLevel="1">
      <c r="A119" s="22"/>
      <c r="B119" s="23"/>
      <c r="C119" s="17"/>
      <c r="D119" s="18"/>
      <c r="E119" s="18"/>
      <c r="F119" s="18"/>
      <c r="G119" s="19"/>
      <c r="H119" s="24"/>
      <c r="I119" s="18"/>
      <c r="J119" s="17"/>
      <c r="K119" s="19"/>
      <c r="L119" s="18"/>
    </row>
    <row r="120" spans="1:12" ht="14.25" hidden="1" customHeight="1" outlineLevel="1">
      <c r="A120" s="22"/>
      <c r="B120" s="23"/>
      <c r="C120" s="17"/>
      <c r="D120" s="18"/>
      <c r="E120" s="18"/>
      <c r="F120" s="18"/>
      <c r="G120" s="19"/>
      <c r="H120" s="24"/>
      <c r="I120" s="18"/>
      <c r="J120" s="17"/>
      <c r="K120" s="19"/>
      <c r="L120" s="18"/>
    </row>
    <row r="121" spans="1:12" ht="14.25" hidden="1" customHeight="1" outlineLevel="1">
      <c r="A121" s="22"/>
      <c r="B121" s="23"/>
      <c r="C121" s="17"/>
      <c r="D121" s="18"/>
      <c r="E121" s="18"/>
      <c r="F121" s="18"/>
      <c r="G121" s="19"/>
      <c r="H121" s="24"/>
      <c r="I121" s="18"/>
      <c r="J121" s="17"/>
      <c r="K121" s="19"/>
      <c r="L121" s="18"/>
    </row>
    <row r="122" spans="1:12" ht="14.25" hidden="1" customHeight="1" outlineLevel="1">
      <c r="A122" s="22"/>
      <c r="B122" s="23"/>
      <c r="C122" s="17"/>
      <c r="D122" s="18"/>
      <c r="E122" s="18"/>
      <c r="F122" s="18"/>
      <c r="G122" s="19"/>
      <c r="H122" s="24"/>
      <c r="I122" s="18"/>
      <c r="J122" s="17"/>
      <c r="K122" s="19"/>
      <c r="L122" s="18"/>
    </row>
    <row r="123" spans="1:12" ht="14.25" hidden="1" customHeight="1" outlineLevel="1">
      <c r="A123" s="22"/>
      <c r="B123" s="23"/>
      <c r="C123" s="17"/>
      <c r="D123" s="18"/>
      <c r="E123" s="18"/>
      <c r="F123" s="18"/>
      <c r="G123" s="19"/>
      <c r="H123" s="24"/>
      <c r="I123" s="18"/>
      <c r="J123" s="17"/>
      <c r="K123" s="19"/>
      <c r="L123" s="18"/>
    </row>
    <row r="124" spans="1:12" ht="14.25" hidden="1" customHeight="1" outlineLevel="1">
      <c r="A124" s="22"/>
      <c r="B124" s="23"/>
      <c r="C124" s="17"/>
      <c r="D124" s="18"/>
      <c r="E124" s="18"/>
      <c r="F124" s="18"/>
      <c r="G124" s="19"/>
      <c r="H124" s="24"/>
      <c r="I124" s="18"/>
      <c r="J124" s="17"/>
      <c r="K124" s="19"/>
      <c r="L124" s="18"/>
    </row>
    <row r="125" spans="1:12" ht="14.25" hidden="1" customHeight="1" outlineLevel="1">
      <c r="A125" s="22"/>
      <c r="B125" s="23"/>
      <c r="C125" s="17"/>
      <c r="D125" s="18"/>
      <c r="E125" s="18"/>
      <c r="F125" s="18"/>
      <c r="G125" s="19"/>
      <c r="H125" s="24"/>
      <c r="I125" s="18"/>
      <c r="J125" s="17"/>
      <c r="K125" s="19"/>
      <c r="L125" s="18"/>
    </row>
    <row r="126" spans="1:12" ht="14.25" hidden="1" customHeight="1" outlineLevel="1">
      <c r="A126" s="22"/>
      <c r="B126" s="23"/>
      <c r="C126" s="17"/>
      <c r="D126" s="18"/>
      <c r="E126" s="18"/>
      <c r="F126" s="18"/>
      <c r="G126" s="19"/>
      <c r="H126" s="24"/>
      <c r="I126" s="18"/>
      <c r="J126" s="17"/>
      <c r="K126" s="19"/>
      <c r="L126" s="18"/>
    </row>
    <row r="127" spans="1:12" ht="14.25" hidden="1" customHeight="1" outlineLevel="1">
      <c r="A127" s="22"/>
      <c r="B127" s="23"/>
      <c r="C127" s="17"/>
      <c r="D127" s="18"/>
      <c r="E127" s="18"/>
      <c r="F127" s="18"/>
      <c r="G127" s="19"/>
      <c r="H127" s="24"/>
      <c r="I127" s="18"/>
      <c r="J127" s="17"/>
      <c r="K127" s="19"/>
      <c r="L127" s="18"/>
    </row>
    <row r="128" spans="1:12" ht="14.25" hidden="1" customHeight="1" outlineLevel="1">
      <c r="A128" s="22"/>
      <c r="B128" s="23"/>
      <c r="C128" s="17"/>
      <c r="D128" s="18"/>
      <c r="E128" s="18"/>
      <c r="F128" s="18"/>
      <c r="G128" s="19"/>
      <c r="H128" s="24"/>
      <c r="I128" s="18"/>
      <c r="J128" s="17"/>
      <c r="K128" s="19"/>
      <c r="L128" s="18"/>
    </row>
    <row r="129" spans="1:12" ht="14.25" hidden="1" customHeight="1" outlineLevel="1">
      <c r="A129" s="22"/>
      <c r="B129" s="23"/>
      <c r="C129" s="17"/>
      <c r="D129" s="18"/>
      <c r="E129" s="18"/>
      <c r="F129" s="18"/>
      <c r="G129" s="19"/>
      <c r="H129" s="24"/>
      <c r="I129" s="18"/>
      <c r="J129" s="17"/>
      <c r="K129" s="19"/>
      <c r="L129" s="18"/>
    </row>
    <row r="130" spans="1:12" ht="14.25" hidden="1" customHeight="1" outlineLevel="1">
      <c r="A130" s="22"/>
      <c r="B130" s="23"/>
      <c r="C130" s="17"/>
      <c r="D130" s="18"/>
      <c r="E130" s="18"/>
      <c r="F130" s="18"/>
      <c r="G130" s="19"/>
      <c r="H130" s="24"/>
      <c r="I130" s="18"/>
      <c r="J130" s="17"/>
      <c r="K130" s="19"/>
      <c r="L130" s="18"/>
    </row>
    <row r="131" spans="1:12" ht="14.25" hidden="1" customHeight="1" outlineLevel="1">
      <c r="A131" s="22"/>
      <c r="B131" s="23"/>
      <c r="C131" s="17"/>
      <c r="D131" s="18"/>
      <c r="E131" s="18"/>
      <c r="F131" s="18"/>
      <c r="G131" s="19"/>
      <c r="H131" s="24"/>
      <c r="I131" s="18"/>
      <c r="J131" s="17"/>
      <c r="K131" s="19"/>
      <c r="L131" s="18"/>
    </row>
    <row r="132" spans="1:12" ht="14.25" hidden="1" customHeight="1" outlineLevel="1">
      <c r="A132" s="22"/>
      <c r="B132" s="23"/>
      <c r="C132" s="17"/>
      <c r="D132" s="18"/>
      <c r="E132" s="18"/>
      <c r="F132" s="18"/>
      <c r="G132" s="19"/>
      <c r="H132" s="24"/>
      <c r="I132" s="18"/>
      <c r="J132" s="17"/>
      <c r="K132" s="19"/>
      <c r="L132" s="18"/>
    </row>
    <row r="133" spans="1:12" ht="14.25" hidden="1" customHeight="1" outlineLevel="1">
      <c r="A133" s="22"/>
      <c r="B133" s="23"/>
      <c r="C133" s="17"/>
      <c r="D133" s="18"/>
      <c r="E133" s="18"/>
      <c r="F133" s="18"/>
      <c r="G133" s="19"/>
      <c r="H133" s="24"/>
      <c r="I133" s="18"/>
      <c r="J133" s="17"/>
      <c r="K133" s="19"/>
      <c r="L133" s="18"/>
    </row>
    <row r="134" spans="1:12" ht="14.25" hidden="1" customHeight="1" outlineLevel="1">
      <c r="A134" s="22"/>
      <c r="B134" s="23"/>
      <c r="C134" s="17"/>
      <c r="D134" s="18"/>
      <c r="E134" s="18"/>
      <c r="F134" s="18"/>
      <c r="G134" s="19"/>
      <c r="H134" s="24"/>
      <c r="I134" s="18"/>
      <c r="J134" s="17"/>
      <c r="K134" s="19"/>
      <c r="L134" s="18"/>
    </row>
    <row r="135" spans="1:12" ht="14.25" hidden="1" customHeight="1" outlineLevel="1">
      <c r="A135" s="22"/>
      <c r="B135" s="23"/>
      <c r="C135" s="17"/>
      <c r="D135" s="18"/>
      <c r="E135" s="18"/>
      <c r="F135" s="18"/>
      <c r="G135" s="19"/>
      <c r="H135" s="24"/>
      <c r="I135" s="18"/>
      <c r="J135" s="17"/>
      <c r="K135" s="19"/>
      <c r="L135" s="18"/>
    </row>
    <row r="136" spans="1:12" ht="14.25" hidden="1" customHeight="1" outlineLevel="1">
      <c r="A136" s="22"/>
      <c r="B136" s="23"/>
      <c r="C136" s="17"/>
      <c r="D136" s="18"/>
      <c r="E136" s="18"/>
      <c r="F136" s="18"/>
      <c r="G136" s="19"/>
      <c r="H136" s="24"/>
      <c r="I136" s="18"/>
      <c r="J136" s="17"/>
      <c r="K136" s="19"/>
      <c r="L136" s="18"/>
    </row>
    <row r="137" spans="1:12" ht="14.25" hidden="1" customHeight="1" outlineLevel="1">
      <c r="A137" s="22"/>
      <c r="B137" s="23"/>
      <c r="C137" s="17"/>
      <c r="D137" s="18"/>
      <c r="E137" s="18"/>
      <c r="F137" s="18"/>
      <c r="G137" s="19"/>
      <c r="H137" s="24"/>
      <c r="I137" s="18"/>
      <c r="J137" s="17"/>
      <c r="K137" s="19"/>
      <c r="L137" s="18"/>
    </row>
    <row r="138" spans="1:12" ht="14.25" hidden="1" customHeight="1" outlineLevel="1">
      <c r="A138" s="22"/>
      <c r="B138" s="23"/>
      <c r="C138" s="17"/>
      <c r="D138" s="18"/>
      <c r="E138" s="18"/>
      <c r="F138" s="18"/>
      <c r="G138" s="19"/>
      <c r="H138" s="24"/>
      <c r="I138" s="18"/>
      <c r="J138" s="17"/>
      <c r="K138" s="19"/>
      <c r="L138" s="18"/>
    </row>
    <row r="139" spans="1:12" ht="14.25" hidden="1" customHeight="1" outlineLevel="1">
      <c r="A139" s="22"/>
      <c r="B139" s="23"/>
      <c r="C139" s="17"/>
      <c r="D139" s="18"/>
      <c r="E139" s="18"/>
      <c r="F139" s="18"/>
      <c r="G139" s="19"/>
      <c r="H139" s="24"/>
      <c r="I139" s="18"/>
      <c r="J139" s="17"/>
      <c r="K139" s="19"/>
      <c r="L139" s="18"/>
    </row>
    <row r="140" spans="1:12" ht="14.25" hidden="1" customHeight="1" outlineLevel="1">
      <c r="A140" s="22"/>
      <c r="B140" s="23"/>
      <c r="C140" s="17"/>
      <c r="D140" s="18"/>
      <c r="E140" s="18"/>
      <c r="F140" s="18"/>
      <c r="G140" s="19"/>
      <c r="H140" s="24"/>
      <c r="I140" s="18"/>
      <c r="J140" s="17"/>
      <c r="K140" s="19"/>
      <c r="L140" s="18"/>
    </row>
    <row r="141" spans="1:12" ht="14.25" hidden="1" customHeight="1" outlineLevel="1">
      <c r="A141" s="22"/>
      <c r="B141" s="23"/>
      <c r="C141" s="17"/>
      <c r="D141" s="18"/>
      <c r="E141" s="18"/>
      <c r="F141" s="18"/>
      <c r="G141" s="19"/>
      <c r="H141" s="24"/>
      <c r="I141" s="18"/>
      <c r="J141" s="17"/>
      <c r="K141" s="19"/>
      <c r="L141" s="18"/>
    </row>
    <row r="142" spans="1:12" ht="14.25" hidden="1" customHeight="1" outlineLevel="1">
      <c r="A142" s="22"/>
      <c r="B142" s="23"/>
      <c r="C142" s="17"/>
      <c r="D142" s="18"/>
      <c r="E142" s="18"/>
      <c r="F142" s="18"/>
      <c r="G142" s="19"/>
      <c r="H142" s="24"/>
      <c r="I142" s="18"/>
      <c r="J142" s="17"/>
      <c r="K142" s="19"/>
      <c r="L142" s="18"/>
    </row>
    <row r="143" spans="1:12" ht="14.25" hidden="1" customHeight="1" outlineLevel="1">
      <c r="A143" s="22"/>
      <c r="B143" s="23"/>
      <c r="C143" s="17"/>
      <c r="D143" s="18"/>
      <c r="E143" s="18"/>
      <c r="F143" s="18"/>
      <c r="G143" s="19"/>
      <c r="H143" s="24"/>
      <c r="I143" s="18"/>
      <c r="J143" s="17"/>
      <c r="K143" s="19"/>
      <c r="L143" s="18"/>
    </row>
    <row r="144" spans="1:12" ht="14.25" hidden="1" customHeight="1" outlineLevel="1">
      <c r="A144" s="22"/>
      <c r="B144" s="23"/>
      <c r="C144" s="17"/>
      <c r="D144" s="18"/>
      <c r="E144" s="18"/>
      <c r="F144" s="18"/>
      <c r="G144" s="19"/>
      <c r="H144" s="24"/>
      <c r="I144" s="18"/>
      <c r="J144" s="17"/>
      <c r="K144" s="19"/>
      <c r="L144" s="18"/>
    </row>
    <row r="145" spans="1:12" ht="14.25" hidden="1" customHeight="1" outlineLevel="1">
      <c r="A145" s="22"/>
      <c r="B145" s="23"/>
      <c r="C145" s="17"/>
      <c r="D145" s="18"/>
      <c r="E145" s="18"/>
      <c r="F145" s="18"/>
      <c r="G145" s="19"/>
      <c r="H145" s="24"/>
      <c r="I145" s="18"/>
      <c r="J145" s="17"/>
      <c r="K145" s="19"/>
      <c r="L145" s="18"/>
    </row>
    <row r="146" spans="1:12" ht="14.25" hidden="1" customHeight="1" outlineLevel="1">
      <c r="A146" s="22"/>
      <c r="B146" s="23"/>
      <c r="C146" s="17"/>
      <c r="D146" s="18"/>
      <c r="E146" s="18"/>
      <c r="F146" s="18"/>
      <c r="G146" s="19"/>
      <c r="H146" s="24"/>
      <c r="I146" s="18"/>
      <c r="J146" s="17"/>
      <c r="K146" s="19"/>
      <c r="L146" s="18"/>
    </row>
    <row r="147" spans="1:12" ht="14.25" hidden="1" customHeight="1" outlineLevel="1">
      <c r="A147" s="22"/>
      <c r="B147" s="23"/>
      <c r="C147" s="17"/>
      <c r="D147" s="18"/>
      <c r="E147" s="18"/>
      <c r="F147" s="18"/>
      <c r="G147" s="19"/>
      <c r="H147" s="24"/>
      <c r="I147" s="18"/>
      <c r="J147" s="17"/>
      <c r="K147" s="19"/>
      <c r="L147" s="18"/>
    </row>
    <row r="148" spans="1:12" ht="14.25" hidden="1" customHeight="1" outlineLevel="1">
      <c r="A148" s="22"/>
      <c r="B148" s="23"/>
      <c r="C148" s="17"/>
      <c r="D148" s="18"/>
      <c r="E148" s="18"/>
      <c r="F148" s="18"/>
      <c r="G148" s="19"/>
      <c r="H148" s="24"/>
      <c r="I148" s="18"/>
      <c r="J148" s="17"/>
      <c r="K148" s="19"/>
      <c r="L148" s="18"/>
    </row>
    <row r="149" spans="1:12" ht="14.25" hidden="1" customHeight="1" outlineLevel="1">
      <c r="A149" s="22"/>
      <c r="B149" s="23"/>
      <c r="C149" s="17"/>
      <c r="D149" s="18"/>
      <c r="E149" s="18"/>
      <c r="F149" s="18"/>
      <c r="G149" s="19"/>
      <c r="H149" s="24"/>
      <c r="I149" s="18"/>
      <c r="J149" s="17"/>
      <c r="K149" s="19"/>
      <c r="L149" s="18"/>
    </row>
    <row r="150" spans="1:12" ht="14.25" hidden="1" customHeight="1" outlineLevel="1">
      <c r="A150" s="22"/>
      <c r="B150" s="23"/>
      <c r="C150" s="17"/>
      <c r="D150" s="18"/>
      <c r="E150" s="18"/>
      <c r="F150" s="18"/>
      <c r="G150" s="19"/>
      <c r="H150" s="24"/>
      <c r="I150" s="18"/>
      <c r="J150" s="17"/>
      <c r="K150" s="19"/>
      <c r="L150" s="18"/>
    </row>
    <row r="151" spans="1:12" ht="14.25" hidden="1" customHeight="1" outlineLevel="1">
      <c r="A151" s="22"/>
      <c r="B151" s="23"/>
      <c r="C151" s="17"/>
      <c r="D151" s="18"/>
      <c r="E151" s="18"/>
      <c r="F151" s="18"/>
      <c r="G151" s="19"/>
      <c r="H151" s="24"/>
      <c r="I151" s="18"/>
      <c r="J151" s="17"/>
      <c r="K151" s="19"/>
      <c r="L151" s="18"/>
    </row>
    <row r="152" spans="1:12" ht="14.25" hidden="1" customHeight="1" outlineLevel="1">
      <c r="A152" s="22"/>
      <c r="B152" s="23"/>
      <c r="C152" s="17"/>
      <c r="D152" s="18"/>
      <c r="E152" s="18"/>
      <c r="F152" s="18"/>
      <c r="G152" s="19"/>
      <c r="H152" s="24"/>
      <c r="I152" s="18"/>
      <c r="J152" s="17"/>
      <c r="K152" s="19"/>
      <c r="L152" s="18"/>
    </row>
    <row r="153" spans="1:12" ht="14.25" hidden="1" customHeight="1" outlineLevel="1">
      <c r="A153" s="22"/>
      <c r="B153" s="23"/>
      <c r="C153" s="17"/>
      <c r="D153" s="18"/>
      <c r="E153" s="18"/>
      <c r="F153" s="18"/>
      <c r="G153" s="19"/>
      <c r="H153" s="24"/>
      <c r="I153" s="18"/>
      <c r="J153" s="17"/>
      <c r="K153" s="19"/>
      <c r="L153" s="18"/>
    </row>
    <row r="154" spans="1:12" ht="14.25" hidden="1" customHeight="1" outlineLevel="1">
      <c r="A154" s="22"/>
      <c r="B154" s="23"/>
      <c r="C154" s="17"/>
      <c r="D154" s="18"/>
      <c r="E154" s="18"/>
      <c r="F154" s="18"/>
      <c r="G154" s="19"/>
      <c r="H154" s="24"/>
      <c r="I154" s="18"/>
      <c r="J154" s="17"/>
      <c r="K154" s="19"/>
      <c r="L154" s="18"/>
    </row>
    <row r="155" spans="1:12" ht="14.25" hidden="1" customHeight="1" outlineLevel="1">
      <c r="A155" s="22"/>
      <c r="B155" s="23"/>
      <c r="C155" s="17"/>
      <c r="D155" s="18"/>
      <c r="E155" s="18"/>
      <c r="F155" s="18"/>
      <c r="G155" s="19"/>
      <c r="H155" s="24"/>
      <c r="I155" s="18"/>
      <c r="J155" s="17"/>
      <c r="K155" s="19"/>
      <c r="L155" s="18"/>
    </row>
    <row r="156" spans="1:12" ht="14.25" hidden="1" customHeight="1" outlineLevel="1">
      <c r="A156" s="22"/>
      <c r="B156" s="23"/>
      <c r="C156" s="17"/>
      <c r="D156" s="18"/>
      <c r="E156" s="18"/>
      <c r="F156" s="18"/>
      <c r="G156" s="19"/>
      <c r="H156" s="24"/>
      <c r="I156" s="18"/>
      <c r="J156" s="17"/>
      <c r="K156" s="19"/>
      <c r="L156" s="18"/>
    </row>
    <row r="157" spans="1:12" ht="14.25" hidden="1" customHeight="1" outlineLevel="1">
      <c r="A157" s="22"/>
      <c r="B157" s="23"/>
      <c r="C157" s="17"/>
      <c r="D157" s="18"/>
      <c r="E157" s="18"/>
      <c r="F157" s="18"/>
      <c r="G157" s="19"/>
      <c r="H157" s="24"/>
      <c r="I157" s="18"/>
      <c r="J157" s="17"/>
      <c r="K157" s="19"/>
      <c r="L157" s="18"/>
    </row>
    <row r="158" spans="1:12" ht="14.25" hidden="1" customHeight="1" outlineLevel="1">
      <c r="A158" s="22"/>
      <c r="B158" s="23"/>
      <c r="C158" s="17"/>
      <c r="D158" s="18"/>
      <c r="E158" s="18"/>
      <c r="F158" s="18"/>
      <c r="G158" s="19"/>
      <c r="H158" s="24"/>
      <c r="I158" s="18"/>
      <c r="J158" s="17"/>
      <c r="K158" s="19"/>
      <c r="L158" s="18"/>
    </row>
    <row r="159" spans="1:12" ht="14.25" hidden="1" customHeight="1" outlineLevel="1">
      <c r="A159" s="22"/>
      <c r="B159" s="23"/>
      <c r="C159" s="17"/>
      <c r="D159" s="18"/>
      <c r="E159" s="18"/>
      <c r="F159" s="18"/>
      <c r="G159" s="19"/>
      <c r="H159" s="24"/>
      <c r="I159" s="18"/>
      <c r="J159" s="17"/>
      <c r="K159" s="19"/>
      <c r="L159" s="18"/>
    </row>
    <row r="160" spans="1:12" ht="14.25" hidden="1" customHeight="1" outlineLevel="1">
      <c r="A160" s="22"/>
      <c r="B160" s="23"/>
      <c r="C160" s="17"/>
      <c r="D160" s="18"/>
      <c r="E160" s="18"/>
      <c r="F160" s="18"/>
      <c r="G160" s="19"/>
      <c r="H160" s="24"/>
      <c r="I160" s="18"/>
      <c r="J160" s="17"/>
      <c r="K160" s="19"/>
      <c r="L160" s="18"/>
    </row>
    <row r="161" spans="1:12" ht="14.25" hidden="1" customHeight="1" outlineLevel="1">
      <c r="A161" s="22"/>
      <c r="B161" s="23"/>
      <c r="C161" s="17"/>
      <c r="D161" s="18"/>
      <c r="E161" s="18"/>
      <c r="F161" s="18"/>
      <c r="G161" s="19"/>
      <c r="H161" s="24"/>
      <c r="I161" s="18"/>
      <c r="J161" s="17"/>
      <c r="K161" s="19"/>
      <c r="L161" s="18"/>
    </row>
    <row r="162" spans="1:12" ht="14.25" hidden="1" customHeight="1" outlineLevel="1">
      <c r="A162" s="22"/>
      <c r="B162" s="23"/>
      <c r="C162" s="17"/>
      <c r="D162" s="18"/>
      <c r="E162" s="18"/>
      <c r="F162" s="18"/>
      <c r="G162" s="19"/>
      <c r="H162" s="24"/>
      <c r="I162" s="18"/>
      <c r="J162" s="17"/>
      <c r="K162" s="19"/>
      <c r="L162" s="18"/>
    </row>
    <row r="163" spans="1:12" ht="14.25" hidden="1" customHeight="1" outlineLevel="1">
      <c r="A163" s="22"/>
      <c r="B163" s="23"/>
      <c r="C163" s="17"/>
      <c r="D163" s="18"/>
      <c r="E163" s="18"/>
      <c r="F163" s="18"/>
      <c r="G163" s="19"/>
      <c r="H163" s="24"/>
      <c r="I163" s="18"/>
      <c r="J163" s="17"/>
      <c r="K163" s="19"/>
      <c r="L163" s="18"/>
    </row>
    <row r="164" spans="1:12" ht="14.25" hidden="1" customHeight="1" outlineLevel="1">
      <c r="A164" s="22"/>
      <c r="B164" s="23"/>
      <c r="C164" s="17"/>
      <c r="D164" s="18"/>
      <c r="E164" s="18"/>
      <c r="F164" s="18"/>
      <c r="G164" s="19"/>
      <c r="H164" s="24"/>
      <c r="I164" s="18"/>
      <c r="J164" s="17"/>
      <c r="K164" s="19"/>
      <c r="L164" s="18"/>
    </row>
    <row r="165" spans="1:12" ht="14.25" hidden="1" customHeight="1" outlineLevel="1">
      <c r="A165" s="22"/>
      <c r="B165" s="23"/>
      <c r="C165" s="17"/>
      <c r="D165" s="18"/>
      <c r="E165" s="18"/>
      <c r="F165" s="18"/>
      <c r="G165" s="19"/>
      <c r="H165" s="24"/>
      <c r="I165" s="18"/>
      <c r="J165" s="17"/>
      <c r="K165" s="19"/>
      <c r="L165" s="18"/>
    </row>
    <row r="166" spans="1:12" ht="14.25" hidden="1" customHeight="1" outlineLevel="1">
      <c r="A166" s="22"/>
      <c r="B166" s="23"/>
      <c r="C166" s="17"/>
      <c r="D166" s="18"/>
      <c r="E166" s="18"/>
      <c r="F166" s="18"/>
      <c r="G166" s="19"/>
      <c r="H166" s="24"/>
      <c r="I166" s="18"/>
      <c r="J166" s="17"/>
      <c r="K166" s="19"/>
      <c r="L166" s="18"/>
    </row>
    <row r="167" spans="1:12" ht="14.25" hidden="1" customHeight="1" outlineLevel="1">
      <c r="A167" s="22"/>
      <c r="B167" s="23"/>
      <c r="C167" s="17"/>
      <c r="D167" s="18"/>
      <c r="E167" s="18"/>
      <c r="F167" s="18"/>
      <c r="G167" s="19"/>
      <c r="H167" s="24"/>
      <c r="I167" s="18"/>
      <c r="J167" s="17"/>
      <c r="K167" s="19"/>
      <c r="L167" s="18"/>
    </row>
    <row r="168" spans="1:12" ht="14.25" hidden="1" customHeight="1" outlineLevel="1">
      <c r="A168" s="22"/>
      <c r="B168" s="23"/>
      <c r="C168" s="17"/>
      <c r="D168" s="18"/>
      <c r="E168" s="18"/>
      <c r="F168" s="18"/>
      <c r="G168" s="19"/>
      <c r="H168" s="24"/>
      <c r="I168" s="18"/>
      <c r="J168" s="17"/>
      <c r="K168" s="19"/>
      <c r="L168" s="18"/>
    </row>
    <row r="169" spans="1:12" ht="14.25" hidden="1" customHeight="1" outlineLevel="1">
      <c r="A169" s="22"/>
      <c r="B169" s="23"/>
      <c r="C169" s="17"/>
      <c r="D169" s="18"/>
      <c r="E169" s="18"/>
      <c r="F169" s="18"/>
      <c r="G169" s="19"/>
      <c r="H169" s="24"/>
      <c r="I169" s="18"/>
      <c r="J169" s="17"/>
      <c r="K169" s="19"/>
      <c r="L169" s="18"/>
    </row>
    <row r="170" spans="1:12" ht="14.25" hidden="1" customHeight="1" outlineLevel="1">
      <c r="A170" s="22"/>
      <c r="B170" s="23"/>
      <c r="C170" s="17"/>
      <c r="D170" s="18"/>
      <c r="E170" s="18"/>
      <c r="F170" s="18"/>
      <c r="G170" s="19"/>
      <c r="H170" s="24"/>
      <c r="I170" s="18"/>
      <c r="J170" s="17"/>
      <c r="K170" s="19"/>
      <c r="L170" s="18"/>
    </row>
    <row r="171" spans="1:12" ht="14.25" hidden="1" customHeight="1" outlineLevel="1">
      <c r="A171" s="22"/>
      <c r="B171" s="23"/>
      <c r="C171" s="17"/>
      <c r="D171" s="18"/>
      <c r="E171" s="18"/>
      <c r="F171" s="18"/>
      <c r="G171" s="19"/>
      <c r="H171" s="24"/>
      <c r="I171" s="18"/>
      <c r="J171" s="17"/>
      <c r="K171" s="19"/>
      <c r="L171" s="18"/>
    </row>
    <row r="172" spans="1:12" ht="14.25" hidden="1" customHeight="1" outlineLevel="1">
      <c r="A172" s="22"/>
      <c r="B172" s="23"/>
      <c r="C172" s="17"/>
      <c r="D172" s="18"/>
      <c r="E172" s="18"/>
      <c r="F172" s="18"/>
      <c r="G172" s="19"/>
      <c r="H172" s="24"/>
      <c r="I172" s="18"/>
      <c r="J172" s="17"/>
      <c r="K172" s="19"/>
      <c r="L172" s="18"/>
    </row>
    <row r="173" spans="1:12" ht="14.25" hidden="1" customHeight="1" outlineLevel="1">
      <c r="A173" s="22"/>
      <c r="B173" s="23"/>
      <c r="C173" s="17"/>
      <c r="D173" s="18"/>
      <c r="E173" s="18"/>
      <c r="F173" s="18"/>
      <c r="G173" s="19"/>
      <c r="H173" s="24"/>
      <c r="I173" s="18"/>
      <c r="J173" s="17"/>
      <c r="K173" s="19"/>
      <c r="L173" s="18"/>
    </row>
    <row r="174" spans="1:12" ht="14.25" hidden="1" customHeight="1" outlineLevel="1">
      <c r="A174" s="22"/>
      <c r="B174" s="23"/>
      <c r="C174" s="17"/>
      <c r="D174" s="18"/>
      <c r="E174" s="18"/>
      <c r="F174" s="18"/>
      <c r="G174" s="19"/>
      <c r="H174" s="24"/>
      <c r="I174" s="18"/>
      <c r="J174" s="17"/>
      <c r="K174" s="19"/>
      <c r="L174" s="18"/>
    </row>
    <row r="175" spans="1:12" ht="14.25" hidden="1" customHeight="1" outlineLevel="1">
      <c r="A175" s="22"/>
      <c r="B175" s="23"/>
      <c r="C175" s="17"/>
      <c r="D175" s="18"/>
      <c r="E175" s="18"/>
      <c r="F175" s="18"/>
      <c r="G175" s="19"/>
      <c r="H175" s="24"/>
      <c r="I175" s="18"/>
      <c r="J175" s="17"/>
      <c r="K175" s="19"/>
      <c r="L175" s="18"/>
    </row>
    <row r="176" spans="1:12" ht="14.25" hidden="1" customHeight="1" outlineLevel="1">
      <c r="A176" s="22"/>
      <c r="B176" s="23"/>
      <c r="C176" s="17"/>
      <c r="D176" s="18"/>
      <c r="E176" s="18"/>
      <c r="F176" s="18"/>
      <c r="G176" s="19"/>
      <c r="H176" s="24"/>
      <c r="I176" s="18"/>
      <c r="J176" s="17"/>
      <c r="K176" s="19"/>
      <c r="L176" s="18"/>
    </row>
    <row r="177" spans="1:12" ht="14.25" hidden="1" customHeight="1" outlineLevel="1">
      <c r="A177" s="22"/>
      <c r="B177" s="23"/>
      <c r="C177" s="17"/>
      <c r="D177" s="18"/>
      <c r="E177" s="18"/>
      <c r="F177" s="18"/>
      <c r="G177" s="19"/>
      <c r="H177" s="24"/>
      <c r="I177" s="18"/>
      <c r="J177" s="17"/>
      <c r="K177" s="19"/>
      <c r="L177" s="18"/>
    </row>
    <row r="178" spans="1:12" ht="14.25" hidden="1" customHeight="1" outlineLevel="1">
      <c r="A178" s="22"/>
      <c r="B178" s="23"/>
      <c r="C178" s="17"/>
      <c r="D178" s="18"/>
      <c r="E178" s="18"/>
      <c r="F178" s="18"/>
      <c r="G178" s="19"/>
      <c r="H178" s="24"/>
      <c r="I178" s="18"/>
      <c r="J178" s="17"/>
      <c r="K178" s="19"/>
      <c r="L178" s="18"/>
    </row>
    <row r="179" spans="1:12" ht="14.25" hidden="1" customHeight="1" outlineLevel="1">
      <c r="A179" s="22"/>
      <c r="B179" s="23"/>
      <c r="C179" s="17"/>
      <c r="D179" s="18"/>
      <c r="E179" s="18"/>
      <c r="F179" s="18"/>
      <c r="G179" s="19"/>
      <c r="H179" s="24"/>
      <c r="I179" s="18"/>
      <c r="J179" s="17"/>
      <c r="K179" s="19"/>
      <c r="L179" s="18"/>
    </row>
    <row r="180" spans="1:12" ht="14.25" hidden="1" customHeight="1" outlineLevel="1">
      <c r="A180" s="22"/>
      <c r="B180" s="23"/>
      <c r="C180" s="17"/>
      <c r="D180" s="18"/>
      <c r="E180" s="18"/>
      <c r="F180" s="18"/>
      <c r="G180" s="19"/>
      <c r="H180" s="24"/>
      <c r="I180" s="18"/>
      <c r="J180" s="17"/>
      <c r="K180" s="19"/>
      <c r="L180" s="18"/>
    </row>
    <row r="181" spans="1:12" ht="14.25" hidden="1" customHeight="1" outlineLevel="1">
      <c r="A181" s="22"/>
      <c r="B181" s="23"/>
      <c r="C181" s="17"/>
      <c r="D181" s="18"/>
      <c r="E181" s="18"/>
      <c r="F181" s="18"/>
      <c r="G181" s="19"/>
      <c r="H181" s="24"/>
      <c r="I181" s="18"/>
      <c r="J181" s="17"/>
      <c r="K181" s="19"/>
      <c r="L181" s="18"/>
    </row>
    <row r="182" spans="1:12" ht="14.25" hidden="1" customHeight="1" outlineLevel="1">
      <c r="A182" s="22"/>
      <c r="B182" s="23"/>
      <c r="C182" s="17"/>
      <c r="D182" s="18"/>
      <c r="E182" s="18"/>
      <c r="F182" s="18"/>
      <c r="G182" s="19"/>
      <c r="H182" s="24"/>
      <c r="I182" s="18"/>
      <c r="J182" s="17"/>
      <c r="K182" s="19"/>
      <c r="L182" s="18"/>
    </row>
    <row r="183" spans="1:12" ht="14.25" hidden="1" customHeight="1" outlineLevel="1">
      <c r="A183" s="22"/>
      <c r="B183" s="23"/>
      <c r="C183" s="17"/>
      <c r="D183" s="18"/>
      <c r="E183" s="18"/>
      <c r="F183" s="18"/>
      <c r="G183" s="19"/>
      <c r="H183" s="24"/>
      <c r="I183" s="18"/>
      <c r="J183" s="17"/>
      <c r="K183" s="19"/>
      <c r="L183" s="18"/>
    </row>
    <row r="184" spans="1:12" ht="14.25" hidden="1" customHeight="1" outlineLevel="1">
      <c r="A184" s="22"/>
      <c r="B184" s="23"/>
      <c r="C184" s="17"/>
      <c r="D184" s="18"/>
      <c r="E184" s="18"/>
      <c r="F184" s="18"/>
      <c r="G184" s="19"/>
      <c r="H184" s="24"/>
      <c r="I184" s="18"/>
      <c r="J184" s="17"/>
      <c r="K184" s="19"/>
      <c r="L184" s="18"/>
    </row>
    <row r="185" spans="1:12" ht="14.25" hidden="1" customHeight="1" outlineLevel="1">
      <c r="A185" s="22"/>
      <c r="B185" s="23"/>
      <c r="C185" s="17"/>
      <c r="D185" s="18"/>
      <c r="E185" s="18"/>
      <c r="F185" s="18"/>
      <c r="G185" s="19"/>
      <c r="H185" s="24"/>
      <c r="I185" s="18"/>
      <c r="J185" s="17"/>
      <c r="K185" s="19"/>
      <c r="L185" s="18"/>
    </row>
    <row r="186" spans="1:12" ht="14.25" hidden="1" customHeight="1" outlineLevel="1">
      <c r="A186" s="22"/>
      <c r="B186" s="23"/>
      <c r="C186" s="17"/>
      <c r="D186" s="18"/>
      <c r="E186" s="18"/>
      <c r="F186" s="18"/>
      <c r="G186" s="19"/>
      <c r="H186" s="24"/>
      <c r="I186" s="18"/>
      <c r="J186" s="17"/>
      <c r="K186" s="19"/>
      <c r="L186" s="18"/>
    </row>
    <row r="187" spans="1:12" ht="14.25" hidden="1" customHeight="1" outlineLevel="1">
      <c r="A187" s="22"/>
      <c r="B187" s="23"/>
      <c r="C187" s="17"/>
      <c r="D187" s="18"/>
      <c r="E187" s="18"/>
      <c r="F187" s="18"/>
      <c r="G187" s="19"/>
      <c r="H187" s="24"/>
      <c r="I187" s="18"/>
      <c r="J187" s="17"/>
      <c r="K187" s="19"/>
      <c r="L187" s="18"/>
    </row>
    <row r="188" spans="1:12" ht="14.25" hidden="1" customHeight="1" outlineLevel="1">
      <c r="A188" s="22"/>
      <c r="B188" s="23"/>
      <c r="C188" s="17"/>
      <c r="D188" s="18"/>
      <c r="E188" s="18"/>
      <c r="F188" s="18"/>
      <c r="G188" s="19"/>
      <c r="H188" s="24"/>
      <c r="I188" s="18"/>
      <c r="J188" s="17"/>
      <c r="K188" s="19"/>
      <c r="L188" s="18"/>
    </row>
    <row r="189" spans="1:12" ht="14.25" hidden="1" customHeight="1" outlineLevel="1">
      <c r="A189" s="22"/>
      <c r="B189" s="23"/>
      <c r="C189" s="17"/>
      <c r="D189" s="18"/>
      <c r="E189" s="18"/>
      <c r="F189" s="18"/>
      <c r="G189" s="19"/>
      <c r="H189" s="24"/>
      <c r="I189" s="18"/>
      <c r="J189" s="17"/>
      <c r="K189" s="19"/>
      <c r="L189" s="18"/>
    </row>
    <row r="190" spans="1:12" ht="14.25" hidden="1" customHeight="1" outlineLevel="1">
      <c r="A190" s="22"/>
      <c r="B190" s="23"/>
      <c r="C190" s="17"/>
      <c r="D190" s="18"/>
      <c r="E190" s="18"/>
      <c r="F190" s="18"/>
      <c r="G190" s="19"/>
      <c r="H190" s="24"/>
      <c r="I190" s="18"/>
      <c r="J190" s="17"/>
      <c r="K190" s="19"/>
      <c r="L190" s="18"/>
    </row>
    <row r="191" spans="1:12" ht="14.25" hidden="1" customHeight="1" outlineLevel="1">
      <c r="A191" s="22"/>
      <c r="B191" s="23"/>
      <c r="C191" s="17"/>
      <c r="D191" s="18"/>
      <c r="E191" s="18"/>
      <c r="F191" s="18"/>
      <c r="G191" s="19"/>
      <c r="H191" s="24"/>
      <c r="I191" s="18"/>
      <c r="J191" s="17"/>
      <c r="K191" s="19"/>
      <c r="L191" s="18"/>
    </row>
    <row r="192" spans="1:12" ht="14.25" hidden="1" customHeight="1" outlineLevel="1">
      <c r="A192" s="22"/>
      <c r="B192" s="23"/>
      <c r="C192" s="17"/>
      <c r="D192" s="18"/>
      <c r="E192" s="18"/>
      <c r="F192" s="18"/>
      <c r="G192" s="19"/>
      <c r="H192" s="24"/>
      <c r="I192" s="18"/>
      <c r="J192" s="17"/>
      <c r="K192" s="19"/>
      <c r="L192" s="18"/>
    </row>
    <row r="193" spans="1:12" ht="14.25" hidden="1" customHeight="1" outlineLevel="1">
      <c r="A193" s="22"/>
      <c r="B193" s="23"/>
      <c r="C193" s="17"/>
      <c r="D193" s="18"/>
      <c r="E193" s="18"/>
      <c r="F193" s="18"/>
      <c r="G193" s="19"/>
      <c r="H193" s="24"/>
      <c r="I193" s="18"/>
      <c r="J193" s="17"/>
      <c r="K193" s="19"/>
      <c r="L193" s="18"/>
    </row>
    <row r="194" spans="1:12" ht="14.25" hidden="1" customHeight="1" outlineLevel="1">
      <c r="A194" s="22"/>
      <c r="B194" s="23"/>
      <c r="C194" s="17"/>
      <c r="D194" s="18"/>
      <c r="E194" s="18"/>
      <c r="F194" s="18"/>
      <c r="G194" s="19"/>
      <c r="H194" s="24"/>
      <c r="I194" s="18"/>
      <c r="J194" s="17"/>
      <c r="K194" s="19"/>
      <c r="L194" s="18"/>
    </row>
    <row r="195" spans="1:12" ht="14.25" hidden="1" customHeight="1" outlineLevel="1">
      <c r="A195" s="22"/>
      <c r="B195" s="23"/>
      <c r="C195" s="17"/>
      <c r="D195" s="18"/>
      <c r="E195" s="18"/>
      <c r="F195" s="18"/>
      <c r="G195" s="19"/>
      <c r="H195" s="24"/>
      <c r="I195" s="18"/>
      <c r="J195" s="17"/>
      <c r="K195" s="19"/>
      <c r="L195" s="18"/>
    </row>
    <row r="196" spans="1:12" ht="14.25" hidden="1" customHeight="1" outlineLevel="1">
      <c r="A196" s="22"/>
      <c r="B196" s="23"/>
      <c r="C196" s="17"/>
      <c r="D196" s="18"/>
      <c r="E196" s="18"/>
      <c r="F196" s="18"/>
      <c r="G196" s="19"/>
      <c r="H196" s="24"/>
      <c r="I196" s="18"/>
      <c r="J196" s="17"/>
      <c r="K196" s="19"/>
      <c r="L196" s="18"/>
    </row>
    <row r="197" spans="1:12" ht="14.25" hidden="1" customHeight="1" outlineLevel="1">
      <c r="A197" s="22"/>
      <c r="B197" s="23"/>
      <c r="C197" s="17"/>
      <c r="D197" s="18"/>
      <c r="E197" s="18"/>
      <c r="F197" s="18"/>
      <c r="G197" s="19"/>
      <c r="H197" s="24"/>
      <c r="I197" s="18"/>
      <c r="J197" s="17"/>
      <c r="K197" s="19"/>
      <c r="L197" s="18"/>
    </row>
    <row r="198" spans="1:12" ht="14.25" hidden="1" customHeight="1" outlineLevel="1">
      <c r="A198" s="22"/>
      <c r="B198" s="23"/>
      <c r="C198" s="17"/>
      <c r="D198" s="18"/>
      <c r="E198" s="18"/>
      <c r="F198" s="18"/>
      <c r="G198" s="19"/>
      <c r="H198" s="24"/>
      <c r="I198" s="18"/>
      <c r="J198" s="17"/>
      <c r="K198" s="19"/>
      <c r="L198" s="18"/>
    </row>
    <row r="199" spans="1:12" ht="14.25" hidden="1" customHeight="1" outlineLevel="1">
      <c r="A199" s="22"/>
      <c r="B199" s="23"/>
      <c r="C199" s="17"/>
      <c r="D199" s="18"/>
      <c r="E199" s="18"/>
      <c r="F199" s="18"/>
      <c r="G199" s="19"/>
      <c r="H199" s="24"/>
      <c r="I199" s="18"/>
      <c r="J199" s="17"/>
      <c r="K199" s="19"/>
      <c r="L199" s="18"/>
    </row>
    <row r="200" spans="1:12" ht="14.25" hidden="1" customHeight="1" outlineLevel="1">
      <c r="A200" s="22"/>
      <c r="B200" s="23"/>
      <c r="C200" s="17"/>
      <c r="D200" s="18"/>
      <c r="E200" s="18"/>
      <c r="F200" s="18"/>
      <c r="G200" s="19"/>
      <c r="H200" s="24"/>
      <c r="I200" s="18"/>
      <c r="J200" s="17"/>
      <c r="K200" s="19"/>
      <c r="L200" s="18"/>
    </row>
    <row r="201" spans="1:12" ht="14.25" hidden="1" customHeight="1" outlineLevel="1">
      <c r="A201" s="22"/>
      <c r="B201" s="23"/>
      <c r="C201" s="17"/>
      <c r="D201" s="18"/>
      <c r="E201" s="18"/>
      <c r="F201" s="18"/>
      <c r="G201" s="19"/>
      <c r="H201" s="24"/>
      <c r="I201" s="18"/>
      <c r="J201" s="17"/>
      <c r="K201" s="19"/>
      <c r="L201" s="18"/>
    </row>
    <row r="202" spans="1:12" ht="66.75" customHeight="1" collapsed="1">
      <c r="A202" s="22" t="s">
        <v>176</v>
      </c>
      <c r="B202" s="23">
        <v>221000484</v>
      </c>
      <c r="C202" s="17" t="s">
        <v>76</v>
      </c>
      <c r="D202" s="18" t="s">
        <v>326</v>
      </c>
      <c r="E202" s="18" t="s">
        <v>327</v>
      </c>
      <c r="F202" s="18" t="s">
        <v>328</v>
      </c>
      <c r="G202" s="19">
        <v>46277</v>
      </c>
      <c r="H202" s="24">
        <v>6</v>
      </c>
      <c r="I202" s="18" t="s">
        <v>329</v>
      </c>
      <c r="J202" s="17" t="s">
        <v>96</v>
      </c>
      <c r="K202" s="19">
        <v>46288</v>
      </c>
      <c r="L202" s="18" t="s">
        <v>330</v>
      </c>
    </row>
    <row r="203" spans="1:12" ht="51.75" customHeight="1">
      <c r="A203" s="22" t="s">
        <v>196</v>
      </c>
      <c r="B203" s="23">
        <v>221023182</v>
      </c>
      <c r="C203" s="17" t="s">
        <v>76</v>
      </c>
      <c r="D203" s="18" t="s">
        <v>331</v>
      </c>
      <c r="E203" s="18" t="s">
        <v>332</v>
      </c>
      <c r="F203" s="18" t="s">
        <v>333</v>
      </c>
      <c r="G203" s="19">
        <v>46283</v>
      </c>
      <c r="H203" s="24">
        <v>7</v>
      </c>
      <c r="I203" s="18" t="s">
        <v>334</v>
      </c>
      <c r="J203" s="17" t="s">
        <v>96</v>
      </c>
      <c r="K203" s="19">
        <v>46288</v>
      </c>
      <c r="L203" s="18" t="s">
        <v>330</v>
      </c>
    </row>
    <row r="204" spans="1:12" ht="51.75" customHeight="1">
      <c r="A204" s="22" t="s">
        <v>184</v>
      </c>
      <c r="B204" s="23">
        <v>220007164</v>
      </c>
      <c r="C204" s="17" t="s">
        <v>76</v>
      </c>
      <c r="D204" s="18" t="s">
        <v>331</v>
      </c>
      <c r="E204" s="18" t="s">
        <v>335</v>
      </c>
      <c r="F204" s="18" t="s">
        <v>336</v>
      </c>
      <c r="G204" s="19">
        <v>46283</v>
      </c>
      <c r="H204" s="24">
        <v>8</v>
      </c>
      <c r="I204" s="18" t="s">
        <v>337</v>
      </c>
      <c r="J204" s="17" t="s">
        <v>96</v>
      </c>
      <c r="K204" s="19">
        <v>46288</v>
      </c>
      <c r="L204" s="18" t="s">
        <v>330</v>
      </c>
    </row>
    <row r="205" spans="1:12" ht="51.75" customHeight="1">
      <c r="A205" s="22" t="s">
        <v>188</v>
      </c>
      <c r="B205" s="23">
        <v>222075924</v>
      </c>
      <c r="C205" s="17" t="s">
        <v>76</v>
      </c>
      <c r="D205" s="18" t="s">
        <v>338</v>
      </c>
      <c r="E205" s="18" t="s">
        <v>339</v>
      </c>
      <c r="F205" s="18" t="s">
        <v>340</v>
      </c>
      <c r="G205" s="19">
        <v>46287</v>
      </c>
      <c r="H205" s="24">
        <v>7</v>
      </c>
      <c r="I205" s="18" t="s">
        <v>341</v>
      </c>
      <c r="J205" s="17" t="s">
        <v>96</v>
      </c>
      <c r="K205" s="19">
        <v>46288</v>
      </c>
      <c r="L205" s="18" t="s">
        <v>330</v>
      </c>
    </row>
    <row r="206" spans="1:12" ht="51.75" customHeight="1">
      <c r="A206" s="22" t="s">
        <v>168</v>
      </c>
      <c r="B206" s="23">
        <v>221027400</v>
      </c>
      <c r="C206" s="17" t="s">
        <v>76</v>
      </c>
      <c r="D206" s="18" t="s">
        <v>338</v>
      </c>
      <c r="E206" s="18" t="s">
        <v>342</v>
      </c>
      <c r="F206" s="18" t="s">
        <v>343</v>
      </c>
      <c r="G206" s="19">
        <v>46288</v>
      </c>
      <c r="H206" s="24">
        <v>6</v>
      </c>
      <c r="I206" s="18" t="s">
        <v>344</v>
      </c>
      <c r="J206" s="17" t="s">
        <v>96</v>
      </c>
      <c r="K206" s="19">
        <v>46288</v>
      </c>
      <c r="L206" s="18" t="s">
        <v>330</v>
      </c>
    </row>
    <row r="207" spans="1:12" ht="21" customHeight="1">
      <c r="A207" s="22"/>
      <c r="B207" s="23"/>
      <c r="C207" s="17"/>
      <c r="D207" s="18"/>
      <c r="E207" s="18"/>
      <c r="F207" s="18"/>
      <c r="G207" s="19"/>
      <c r="H207" s="24"/>
      <c r="I207" s="18"/>
      <c r="J207" s="17"/>
      <c r="K207" s="19"/>
      <c r="L207" s="18"/>
    </row>
    <row r="208" spans="1:12" ht="21" customHeight="1">
      <c r="A208" s="22"/>
      <c r="B208" s="23"/>
      <c r="C208" s="17"/>
      <c r="D208" s="18"/>
      <c r="E208" s="18"/>
      <c r="F208" s="18"/>
      <c r="G208" s="19"/>
      <c r="H208" s="24"/>
      <c r="I208" s="18"/>
      <c r="J208" s="17"/>
      <c r="K208" s="19"/>
      <c r="L208" s="18"/>
    </row>
    <row r="209" spans="1:12" ht="21" customHeight="1">
      <c r="A209" s="22"/>
      <c r="B209" s="23"/>
      <c r="C209" s="17"/>
      <c r="D209" s="18"/>
      <c r="E209" s="18"/>
      <c r="F209" s="18"/>
      <c r="G209" s="19"/>
      <c r="H209" s="24"/>
      <c r="I209" s="18"/>
      <c r="J209" s="17"/>
      <c r="K209" s="19"/>
      <c r="L209" s="18"/>
    </row>
    <row r="210" spans="1:12" ht="15" hidden="1" customHeight="1" outlineLevel="1">
      <c r="A210" s="22"/>
      <c r="B210" s="23"/>
      <c r="C210" s="17"/>
      <c r="D210" s="18"/>
      <c r="E210" s="18"/>
      <c r="F210" s="18"/>
      <c r="G210" s="19"/>
      <c r="H210" s="24"/>
      <c r="I210" s="18"/>
      <c r="J210" s="17"/>
      <c r="K210" s="19"/>
      <c r="L210" s="18"/>
    </row>
    <row r="211" spans="1:12" ht="15" hidden="1" customHeight="1" outlineLevel="1">
      <c r="A211" s="22"/>
      <c r="B211" s="23"/>
      <c r="C211" s="17"/>
      <c r="D211" s="18"/>
      <c r="E211" s="18"/>
      <c r="F211" s="18"/>
      <c r="G211" s="19"/>
      <c r="H211" s="24"/>
      <c r="I211" s="18"/>
      <c r="J211" s="17"/>
      <c r="K211" s="19"/>
      <c r="L211" s="18"/>
    </row>
    <row r="212" spans="1:12" ht="15" hidden="1" customHeight="1" outlineLevel="1">
      <c r="A212" s="22"/>
      <c r="B212" s="23"/>
      <c r="C212" s="17"/>
      <c r="D212" s="18"/>
      <c r="E212" s="18"/>
      <c r="F212" s="18"/>
      <c r="G212" s="19"/>
      <c r="H212" s="24"/>
      <c r="I212" s="18"/>
      <c r="J212" s="17"/>
      <c r="K212" s="19"/>
      <c r="L212" s="18"/>
    </row>
    <row r="213" spans="1:12" ht="15" hidden="1" customHeight="1" outlineLevel="1">
      <c r="A213" s="22"/>
      <c r="B213" s="23"/>
      <c r="C213" s="17"/>
      <c r="D213" s="18"/>
      <c r="E213" s="18"/>
      <c r="F213" s="18"/>
      <c r="G213" s="19"/>
      <c r="H213" s="24"/>
      <c r="I213" s="18"/>
      <c r="J213" s="17"/>
      <c r="K213" s="19"/>
      <c r="L213" s="18"/>
    </row>
    <row r="214" spans="1:12" ht="15" hidden="1" customHeight="1" outlineLevel="1">
      <c r="A214" s="22"/>
      <c r="B214" s="23"/>
      <c r="C214" s="17"/>
      <c r="D214" s="18"/>
      <c r="E214" s="18"/>
      <c r="F214" s="18"/>
      <c r="G214" s="19"/>
      <c r="H214" s="24"/>
      <c r="I214" s="18"/>
      <c r="J214" s="17"/>
      <c r="K214" s="19"/>
      <c r="L214" s="18"/>
    </row>
    <row r="215" spans="1:12" ht="15" hidden="1" customHeight="1" outlineLevel="1">
      <c r="A215" s="22"/>
      <c r="B215" s="23"/>
      <c r="C215" s="17"/>
      <c r="D215" s="18"/>
      <c r="E215" s="18"/>
      <c r="F215" s="18"/>
      <c r="G215" s="19"/>
      <c r="H215" s="24"/>
      <c r="I215" s="18"/>
      <c r="J215" s="17"/>
      <c r="K215" s="19"/>
      <c r="L215" s="18"/>
    </row>
    <row r="216" spans="1:12" ht="15" hidden="1" customHeight="1" outlineLevel="1">
      <c r="A216" s="22"/>
      <c r="B216" s="23"/>
      <c r="C216" s="17"/>
      <c r="D216" s="18"/>
      <c r="E216" s="18"/>
      <c r="F216" s="18"/>
      <c r="G216" s="19"/>
      <c r="H216" s="24"/>
      <c r="I216" s="18"/>
      <c r="J216" s="17"/>
      <c r="K216" s="19"/>
      <c r="L216" s="18"/>
    </row>
    <row r="217" spans="1:12" ht="51.75" customHeight="1" collapsed="1">
      <c r="A217" s="22" t="s">
        <v>176</v>
      </c>
      <c r="B217" s="23">
        <v>221000484</v>
      </c>
      <c r="C217" s="17" t="s">
        <v>36</v>
      </c>
      <c r="D217" s="18" t="s">
        <v>345</v>
      </c>
      <c r="E217" s="18" t="s">
        <v>346</v>
      </c>
      <c r="F217" s="18" t="s">
        <v>347</v>
      </c>
      <c r="G217" s="19">
        <v>46315</v>
      </c>
      <c r="H217" s="24">
        <v>6</v>
      </c>
      <c r="I217" s="18" t="s">
        <v>348</v>
      </c>
      <c r="J217" s="17" t="s">
        <v>96</v>
      </c>
      <c r="K217" s="19">
        <v>46318</v>
      </c>
      <c r="L217" s="18" t="s">
        <v>349</v>
      </c>
    </row>
    <row r="218" spans="1:12" ht="51.75" customHeight="1">
      <c r="A218" s="22" t="s">
        <v>168</v>
      </c>
      <c r="B218" s="23">
        <v>221027400</v>
      </c>
      <c r="C218" s="17" t="s">
        <v>36</v>
      </c>
      <c r="D218" s="18" t="s">
        <v>345</v>
      </c>
      <c r="E218" s="18" t="s">
        <v>350</v>
      </c>
      <c r="F218" s="18" t="s">
        <v>347</v>
      </c>
      <c r="G218" s="19">
        <v>46316</v>
      </c>
      <c r="H218" s="24">
        <v>8</v>
      </c>
      <c r="I218" s="18" t="s">
        <v>348</v>
      </c>
      <c r="J218" s="17" t="s">
        <v>96</v>
      </c>
      <c r="K218" s="19">
        <v>46318</v>
      </c>
      <c r="L218" s="18" t="s">
        <v>349</v>
      </c>
    </row>
    <row r="219" spans="1:12" ht="51.75" customHeight="1">
      <c r="A219" s="22" t="s">
        <v>188</v>
      </c>
      <c r="B219" s="23">
        <v>222075924</v>
      </c>
      <c r="C219" s="17" t="s">
        <v>36</v>
      </c>
      <c r="D219" s="18" t="s">
        <v>345</v>
      </c>
      <c r="E219" s="18" t="s">
        <v>351</v>
      </c>
      <c r="F219" s="18" t="s">
        <v>347</v>
      </c>
      <c r="G219" s="19">
        <v>46318</v>
      </c>
      <c r="H219" s="24">
        <v>6</v>
      </c>
      <c r="I219" s="18" t="s">
        <v>348</v>
      </c>
      <c r="J219" s="17" t="s">
        <v>96</v>
      </c>
      <c r="K219" s="19">
        <v>46318</v>
      </c>
      <c r="L219" s="18" t="s">
        <v>349</v>
      </c>
    </row>
    <row r="220" spans="1:12" ht="51.75" customHeight="1">
      <c r="A220" s="22" t="s">
        <v>196</v>
      </c>
      <c r="B220" s="23">
        <v>221023182</v>
      </c>
      <c r="C220" s="17" t="s">
        <v>36</v>
      </c>
      <c r="D220" s="18" t="s">
        <v>345</v>
      </c>
      <c r="E220" s="18" t="s">
        <v>352</v>
      </c>
      <c r="F220" s="18" t="s">
        <v>347</v>
      </c>
      <c r="G220" s="19">
        <v>46317</v>
      </c>
      <c r="H220" s="24">
        <v>5</v>
      </c>
      <c r="I220" s="18" t="s">
        <v>348</v>
      </c>
      <c r="J220" s="17" t="s">
        <v>96</v>
      </c>
      <c r="K220" s="19">
        <v>46318</v>
      </c>
      <c r="L220" s="18" t="s">
        <v>349</v>
      </c>
    </row>
    <row r="221" spans="1:12" ht="51.75" customHeight="1">
      <c r="A221" s="22" t="s">
        <v>180</v>
      </c>
      <c r="B221" s="23">
        <v>219015068</v>
      </c>
      <c r="C221" s="17" t="s">
        <v>36</v>
      </c>
      <c r="D221" s="18" t="s">
        <v>345</v>
      </c>
      <c r="E221" s="18" t="s">
        <v>353</v>
      </c>
      <c r="F221" s="18" t="s">
        <v>347</v>
      </c>
      <c r="G221" s="19">
        <v>46315</v>
      </c>
      <c r="H221" s="24">
        <v>6</v>
      </c>
      <c r="I221" s="18" t="s">
        <v>348</v>
      </c>
      <c r="J221" s="17" t="s">
        <v>96</v>
      </c>
      <c r="K221" s="19">
        <v>46318</v>
      </c>
      <c r="L221" s="18" t="s">
        <v>349</v>
      </c>
    </row>
    <row r="222" spans="1:12" ht="51.75" customHeight="1">
      <c r="A222" s="22" t="s">
        <v>184</v>
      </c>
      <c r="B222" s="23">
        <v>220007164</v>
      </c>
      <c r="C222" s="17" t="s">
        <v>36</v>
      </c>
      <c r="D222" s="18" t="s">
        <v>345</v>
      </c>
      <c r="E222" s="18" t="s">
        <v>354</v>
      </c>
      <c r="F222" s="18" t="s">
        <v>347</v>
      </c>
      <c r="G222" s="19">
        <v>46324</v>
      </c>
      <c r="H222" s="24">
        <v>7</v>
      </c>
      <c r="I222" s="18" t="s">
        <v>348</v>
      </c>
      <c r="J222" s="17" t="s">
        <v>96</v>
      </c>
      <c r="K222" s="19">
        <v>46318</v>
      </c>
      <c r="L222" s="18" t="s">
        <v>349</v>
      </c>
    </row>
    <row r="223" spans="1:12" ht="21" customHeight="1">
      <c r="A223" s="22"/>
      <c r="B223" s="23"/>
      <c r="C223" s="17"/>
      <c r="D223" s="18"/>
      <c r="E223" s="18"/>
      <c r="F223" s="18"/>
      <c r="G223" s="19"/>
      <c r="H223" s="24"/>
      <c r="I223" s="18"/>
      <c r="J223" s="17"/>
      <c r="K223" s="19"/>
      <c r="L223" s="18"/>
    </row>
    <row r="224" spans="1:12" ht="21" customHeight="1">
      <c r="A224" s="22"/>
      <c r="B224" s="23"/>
      <c r="C224" s="17"/>
      <c r="D224" s="18"/>
      <c r="E224" s="18"/>
      <c r="F224" s="18"/>
      <c r="G224" s="19"/>
      <c r="H224" s="24"/>
      <c r="I224" s="18"/>
      <c r="J224" s="17"/>
      <c r="K224" s="19"/>
      <c r="L224" s="18"/>
    </row>
    <row r="225" spans="1:12" ht="21" customHeight="1">
      <c r="A225" s="22"/>
      <c r="B225" s="23"/>
      <c r="C225" s="17"/>
      <c r="D225" s="18"/>
      <c r="E225" s="18"/>
      <c r="F225" s="18"/>
      <c r="G225" s="19"/>
      <c r="H225" s="24"/>
      <c r="I225" s="18"/>
      <c r="J225" s="17"/>
      <c r="K225" s="19"/>
      <c r="L225" s="18"/>
    </row>
    <row r="226" spans="1:12" ht="21" customHeight="1">
      <c r="A226" s="22"/>
      <c r="B226" s="23"/>
      <c r="C226" s="17"/>
      <c r="D226" s="18"/>
      <c r="E226" s="18"/>
      <c r="F226" s="18"/>
      <c r="G226" s="19"/>
      <c r="H226" s="24"/>
      <c r="I226" s="18"/>
      <c r="J226" s="17"/>
      <c r="K226" s="19"/>
      <c r="L226" s="18"/>
    </row>
    <row r="227" spans="1:12" ht="15" hidden="1" customHeight="1" outlineLevel="1">
      <c r="A227" s="22"/>
      <c r="B227" s="23"/>
      <c r="C227" s="17"/>
      <c r="D227" s="18"/>
      <c r="E227" s="18"/>
      <c r="F227" s="18"/>
      <c r="G227" s="19"/>
      <c r="H227" s="24"/>
      <c r="I227" s="18"/>
      <c r="J227" s="17"/>
      <c r="K227" s="19"/>
      <c r="L227" s="18"/>
    </row>
    <row r="228" spans="1:12" ht="15" hidden="1" customHeight="1" outlineLevel="1">
      <c r="A228" s="22"/>
      <c r="B228" s="23"/>
      <c r="C228" s="17"/>
      <c r="D228" s="18"/>
      <c r="E228" s="18"/>
      <c r="F228" s="18"/>
      <c r="G228" s="19"/>
      <c r="H228" s="24"/>
      <c r="I228" s="18"/>
      <c r="J228" s="17"/>
      <c r="K228" s="19"/>
      <c r="L228" s="18"/>
    </row>
    <row r="229" spans="1:12" ht="15" hidden="1" customHeight="1" outlineLevel="1">
      <c r="A229" s="22"/>
      <c r="B229" s="23"/>
      <c r="C229" s="17"/>
      <c r="D229" s="18"/>
      <c r="E229" s="18"/>
      <c r="F229" s="18"/>
      <c r="G229" s="19"/>
      <c r="H229" s="24"/>
      <c r="I229" s="18"/>
      <c r="J229" s="17"/>
      <c r="K229" s="19"/>
      <c r="L229" s="18"/>
    </row>
    <row r="230" spans="1:12" ht="15" hidden="1" customHeight="1" outlineLevel="1">
      <c r="A230" s="22"/>
      <c r="B230" s="23"/>
      <c r="C230" s="17"/>
      <c r="D230" s="18"/>
      <c r="E230" s="18"/>
      <c r="F230" s="18"/>
      <c r="G230" s="19"/>
      <c r="H230" s="24"/>
      <c r="I230" s="18"/>
      <c r="J230" s="17"/>
      <c r="K230" s="19"/>
      <c r="L230" s="18"/>
    </row>
    <row r="231" spans="1:12" ht="15" hidden="1" customHeight="1" outlineLevel="1">
      <c r="A231" s="22"/>
      <c r="B231" s="23"/>
      <c r="C231" s="17"/>
      <c r="D231" s="18"/>
      <c r="E231" s="18"/>
      <c r="F231" s="18"/>
      <c r="G231" s="19"/>
      <c r="H231" s="24"/>
      <c r="I231" s="18"/>
      <c r="J231" s="17"/>
      <c r="K231" s="19"/>
      <c r="L231" s="18"/>
    </row>
    <row r="232" spans="1:12" ht="15" hidden="1" customHeight="1" outlineLevel="1">
      <c r="A232" s="22"/>
      <c r="B232" s="23"/>
      <c r="C232" s="17"/>
      <c r="D232" s="18"/>
      <c r="E232" s="18"/>
      <c r="F232" s="18"/>
      <c r="G232" s="19"/>
      <c r="H232" s="24"/>
      <c r="I232" s="18"/>
      <c r="J232" s="17"/>
      <c r="K232" s="19"/>
      <c r="L232" s="18"/>
    </row>
    <row r="233" spans="1:12" ht="15" hidden="1" customHeight="1" outlineLevel="1">
      <c r="A233" s="22"/>
      <c r="B233" s="23"/>
      <c r="C233" s="17"/>
      <c r="D233" s="18"/>
      <c r="E233" s="18"/>
      <c r="F233" s="18"/>
      <c r="G233" s="19"/>
      <c r="H233" s="24"/>
      <c r="I233" s="18"/>
      <c r="J233" s="17"/>
      <c r="K233" s="19"/>
      <c r="L233" s="18"/>
    </row>
    <row r="234" spans="1:12" ht="15" hidden="1" customHeight="1" outlineLevel="1">
      <c r="A234" s="22"/>
      <c r="B234" s="23"/>
      <c r="C234" s="17"/>
      <c r="D234" s="18"/>
      <c r="E234" s="18"/>
      <c r="F234" s="18"/>
      <c r="G234" s="19"/>
      <c r="H234" s="24"/>
      <c r="I234" s="18"/>
      <c r="J234" s="17"/>
      <c r="K234" s="19"/>
      <c r="L234" s="18"/>
    </row>
    <row r="235" spans="1:12" ht="15" hidden="1" customHeight="1" outlineLevel="1">
      <c r="A235" s="22"/>
      <c r="B235" s="23"/>
      <c r="C235" s="17"/>
      <c r="D235" s="18"/>
      <c r="E235" s="18"/>
      <c r="F235" s="18"/>
      <c r="G235" s="19"/>
      <c r="H235" s="24"/>
      <c r="I235" s="18"/>
      <c r="J235" s="17"/>
      <c r="K235" s="19"/>
      <c r="L235" s="18"/>
    </row>
    <row r="236" spans="1:12" ht="15" hidden="1" customHeight="1" outlineLevel="1">
      <c r="A236" s="22"/>
      <c r="B236" s="23"/>
      <c r="C236" s="17"/>
      <c r="D236" s="18"/>
      <c r="E236" s="18"/>
      <c r="F236" s="18"/>
      <c r="G236" s="19"/>
      <c r="H236" s="24"/>
      <c r="I236" s="18"/>
      <c r="J236" s="17"/>
      <c r="K236" s="19"/>
      <c r="L236" s="18"/>
    </row>
    <row r="237" spans="1:12" ht="15" hidden="1" customHeight="1" outlineLevel="1">
      <c r="A237" s="22"/>
      <c r="B237" s="23"/>
      <c r="C237" s="17"/>
      <c r="D237" s="18"/>
      <c r="E237" s="18"/>
      <c r="F237" s="18"/>
      <c r="G237" s="19"/>
      <c r="H237" s="24"/>
      <c r="I237" s="18"/>
      <c r="J237" s="17"/>
      <c r="K237" s="19"/>
      <c r="L237" s="18"/>
    </row>
    <row r="238" spans="1:12" ht="15" hidden="1" customHeight="1" outlineLevel="1">
      <c r="A238" s="22"/>
      <c r="B238" s="23"/>
      <c r="C238" s="17"/>
      <c r="D238" s="18"/>
      <c r="E238" s="18"/>
      <c r="F238" s="18"/>
      <c r="G238" s="19"/>
      <c r="H238" s="24"/>
      <c r="I238" s="18"/>
      <c r="J238" s="17"/>
      <c r="K238" s="19"/>
      <c r="L238" s="18"/>
    </row>
    <row r="239" spans="1:12" ht="15" hidden="1" customHeight="1" outlineLevel="1">
      <c r="A239" s="22"/>
      <c r="B239" s="23"/>
      <c r="C239" s="17"/>
      <c r="D239" s="18"/>
      <c r="E239" s="18"/>
      <c r="F239" s="18"/>
      <c r="G239" s="19"/>
      <c r="H239" s="24"/>
      <c r="I239" s="18"/>
      <c r="J239" s="17"/>
      <c r="K239" s="19"/>
      <c r="L239" s="18"/>
    </row>
    <row r="240" spans="1:12" ht="15" hidden="1" customHeight="1" outlineLevel="1">
      <c r="A240" s="22"/>
      <c r="B240" s="23"/>
      <c r="C240" s="17"/>
      <c r="D240" s="18"/>
      <c r="E240" s="18"/>
      <c r="F240" s="18"/>
      <c r="G240" s="19"/>
      <c r="H240" s="24"/>
      <c r="I240" s="18"/>
      <c r="J240" s="17"/>
      <c r="K240" s="19"/>
      <c r="L240" s="18"/>
    </row>
    <row r="241" spans="1:12" ht="15" hidden="1" customHeight="1" outlineLevel="1">
      <c r="A241" s="22"/>
      <c r="B241" s="23"/>
      <c r="C241" s="17"/>
      <c r="D241" s="18"/>
      <c r="E241" s="18"/>
      <c r="F241" s="18"/>
      <c r="G241" s="19"/>
      <c r="H241" s="24"/>
      <c r="I241" s="18"/>
      <c r="J241" s="17"/>
      <c r="K241" s="19"/>
      <c r="L241" s="18"/>
    </row>
    <row r="242" spans="1:12" ht="15" hidden="1" customHeight="1" outlineLevel="1">
      <c r="A242" s="22"/>
      <c r="B242" s="23"/>
      <c r="C242" s="17"/>
      <c r="D242" s="18"/>
      <c r="E242" s="18"/>
      <c r="F242" s="18"/>
      <c r="G242" s="19"/>
      <c r="H242" s="24"/>
      <c r="I242" s="18"/>
      <c r="J242" s="17"/>
      <c r="K242" s="19"/>
      <c r="L242" s="18"/>
    </row>
    <row r="243" spans="1:12" ht="15" hidden="1" customHeight="1" outlineLevel="1">
      <c r="A243" s="22"/>
      <c r="B243" s="23"/>
      <c r="C243" s="17"/>
      <c r="D243" s="18"/>
      <c r="E243" s="18"/>
      <c r="F243" s="18"/>
      <c r="G243" s="19"/>
      <c r="H243" s="24"/>
      <c r="I243" s="18"/>
      <c r="J243" s="17"/>
      <c r="K243" s="19"/>
      <c r="L243" s="18"/>
    </row>
    <row r="244" spans="1:12" ht="15" hidden="1" customHeight="1" outlineLevel="1">
      <c r="A244" s="22"/>
      <c r="B244" s="23"/>
      <c r="C244" s="17"/>
      <c r="D244" s="18"/>
      <c r="E244" s="18"/>
      <c r="F244" s="18"/>
      <c r="G244" s="19"/>
      <c r="H244" s="24"/>
      <c r="I244" s="18"/>
      <c r="J244" s="17"/>
      <c r="K244" s="19"/>
      <c r="L244" s="18"/>
    </row>
    <row r="245" spans="1:12" ht="15" hidden="1" customHeight="1" outlineLevel="1">
      <c r="A245" s="22"/>
      <c r="B245" s="23"/>
      <c r="C245" s="17"/>
      <c r="D245" s="18"/>
      <c r="E245" s="18"/>
      <c r="F245" s="18"/>
      <c r="G245" s="19"/>
      <c r="H245" s="24"/>
      <c r="I245" s="18"/>
      <c r="J245" s="17"/>
      <c r="K245" s="19"/>
      <c r="L245" s="18"/>
    </row>
    <row r="246" spans="1:12" ht="15" hidden="1" customHeight="1" outlineLevel="1">
      <c r="A246" s="22"/>
      <c r="B246" s="23"/>
      <c r="C246" s="17"/>
      <c r="D246" s="18"/>
      <c r="E246" s="18"/>
      <c r="F246" s="18"/>
      <c r="G246" s="19"/>
      <c r="H246" s="24"/>
      <c r="I246" s="18"/>
      <c r="J246" s="17"/>
      <c r="K246" s="19"/>
      <c r="L246" s="18"/>
    </row>
    <row r="247" spans="1:12" ht="15" hidden="1" customHeight="1" outlineLevel="1">
      <c r="A247" s="22"/>
      <c r="B247" s="23"/>
      <c r="C247" s="17"/>
      <c r="D247" s="18"/>
      <c r="E247" s="18"/>
      <c r="F247" s="18"/>
      <c r="G247" s="19"/>
      <c r="H247" s="24"/>
      <c r="I247" s="18"/>
      <c r="J247" s="17"/>
      <c r="K247" s="19"/>
      <c r="L247" s="18"/>
    </row>
    <row r="248" spans="1:12" ht="15" hidden="1" customHeight="1" outlineLevel="1">
      <c r="A248" s="22"/>
      <c r="B248" s="23"/>
      <c r="C248" s="17"/>
      <c r="D248" s="18"/>
      <c r="E248" s="18"/>
      <c r="F248" s="18"/>
      <c r="G248" s="19"/>
      <c r="H248" s="24"/>
      <c r="I248" s="18"/>
      <c r="J248" s="17"/>
      <c r="K248" s="19"/>
      <c r="L248" s="18"/>
    </row>
    <row r="249" spans="1:12" ht="15" hidden="1" customHeight="1" outlineLevel="1">
      <c r="A249" s="22"/>
      <c r="B249" s="23"/>
      <c r="C249" s="17"/>
      <c r="D249" s="18"/>
      <c r="E249" s="18"/>
      <c r="F249" s="18"/>
      <c r="G249" s="19"/>
      <c r="H249" s="24"/>
      <c r="I249" s="18"/>
      <c r="J249" s="17"/>
      <c r="K249" s="19"/>
      <c r="L249" s="18"/>
    </row>
    <row r="250" spans="1:12" ht="15" hidden="1" customHeight="1" outlineLevel="1">
      <c r="A250" s="22"/>
      <c r="B250" s="23"/>
      <c r="C250" s="17"/>
      <c r="D250" s="18"/>
      <c r="E250" s="18"/>
      <c r="F250" s="18"/>
      <c r="G250" s="19"/>
      <c r="H250" s="24"/>
      <c r="I250" s="18"/>
      <c r="J250" s="17"/>
      <c r="K250" s="19"/>
      <c r="L250" s="18"/>
    </row>
    <row r="251" spans="1:12" ht="15" hidden="1" customHeight="1" outlineLevel="1">
      <c r="A251" s="22"/>
      <c r="B251" s="23"/>
      <c r="C251" s="17"/>
      <c r="D251" s="18"/>
      <c r="E251" s="18"/>
      <c r="F251" s="18"/>
      <c r="G251" s="19"/>
      <c r="H251" s="24"/>
      <c r="I251" s="18"/>
      <c r="J251" s="17"/>
      <c r="K251" s="19"/>
      <c r="L251" s="18"/>
    </row>
    <row r="252" spans="1:12" ht="15" hidden="1" customHeight="1" outlineLevel="1">
      <c r="A252" s="22"/>
      <c r="B252" s="23"/>
      <c r="C252" s="17"/>
      <c r="D252" s="18"/>
      <c r="E252" s="18"/>
      <c r="F252" s="18"/>
      <c r="G252" s="19"/>
      <c r="H252" s="24"/>
      <c r="I252" s="18"/>
      <c r="J252" s="17"/>
      <c r="K252" s="19"/>
      <c r="L252" s="18"/>
    </row>
    <row r="253" spans="1:12" ht="15" hidden="1" customHeight="1" outlineLevel="1">
      <c r="A253" s="22"/>
      <c r="B253" s="23"/>
      <c r="C253" s="17"/>
      <c r="D253" s="18"/>
      <c r="E253" s="18"/>
      <c r="F253" s="18"/>
      <c r="G253" s="19"/>
      <c r="H253" s="24"/>
      <c r="I253" s="18"/>
      <c r="J253" s="17"/>
      <c r="K253" s="19"/>
      <c r="L253" s="18"/>
    </row>
    <row r="254" spans="1:12" ht="15" hidden="1" customHeight="1" outlineLevel="1">
      <c r="A254" s="22"/>
      <c r="B254" s="23"/>
      <c r="C254" s="17"/>
      <c r="D254" s="18"/>
      <c r="E254" s="18"/>
      <c r="F254" s="18"/>
      <c r="G254" s="19"/>
      <c r="H254" s="24"/>
      <c r="I254" s="18"/>
      <c r="J254" s="17"/>
      <c r="K254" s="19"/>
      <c r="L254" s="18"/>
    </row>
    <row r="255" spans="1:12" ht="15" hidden="1" customHeight="1" outlineLevel="1">
      <c r="A255" s="22"/>
      <c r="B255" s="23"/>
      <c r="C255" s="17"/>
      <c r="D255" s="18"/>
      <c r="E255" s="18"/>
      <c r="F255" s="18"/>
      <c r="G255" s="19"/>
      <c r="H255" s="24"/>
      <c r="I255" s="18"/>
      <c r="J255" s="17"/>
      <c r="K255" s="19"/>
      <c r="L255" s="18"/>
    </row>
    <row r="256" spans="1:12" ht="15" hidden="1" customHeight="1" outlineLevel="1">
      <c r="A256" s="22"/>
      <c r="B256" s="23"/>
      <c r="C256" s="17"/>
      <c r="D256" s="18"/>
      <c r="E256" s="18"/>
      <c r="F256" s="18"/>
      <c r="G256" s="19"/>
      <c r="H256" s="24"/>
      <c r="I256" s="18"/>
      <c r="J256" s="17"/>
      <c r="K256" s="19"/>
      <c r="L256" s="18"/>
    </row>
    <row r="257" spans="1:12" ht="15" hidden="1" customHeight="1" outlineLevel="1">
      <c r="A257" s="22"/>
      <c r="B257" s="23"/>
      <c r="C257" s="17"/>
      <c r="D257" s="18"/>
      <c r="E257" s="18"/>
      <c r="F257" s="18"/>
      <c r="G257" s="19"/>
      <c r="H257" s="24"/>
      <c r="I257" s="18"/>
      <c r="J257" s="17"/>
      <c r="K257" s="19"/>
      <c r="L257" s="18"/>
    </row>
    <row r="258" spans="1:12" ht="15" hidden="1" customHeight="1" outlineLevel="1">
      <c r="A258" s="22"/>
      <c r="B258" s="23"/>
      <c r="C258" s="17"/>
      <c r="D258" s="18"/>
      <c r="E258" s="18"/>
      <c r="F258" s="18"/>
      <c r="G258" s="19"/>
      <c r="H258" s="24"/>
      <c r="I258" s="18"/>
      <c r="J258" s="17"/>
      <c r="K258" s="19"/>
      <c r="L258" s="18"/>
    </row>
    <row r="259" spans="1:12" ht="15" hidden="1" customHeight="1" outlineLevel="1">
      <c r="A259" s="22"/>
      <c r="B259" s="23"/>
      <c r="C259" s="17"/>
      <c r="D259" s="18"/>
      <c r="E259" s="18"/>
      <c r="F259" s="18"/>
      <c r="G259" s="19"/>
      <c r="H259" s="24"/>
      <c r="I259" s="18"/>
      <c r="J259" s="17"/>
      <c r="K259" s="19"/>
      <c r="L259" s="18"/>
    </row>
    <row r="260" spans="1:12" ht="15" hidden="1" customHeight="1" outlineLevel="1">
      <c r="A260" s="22"/>
      <c r="B260" s="23"/>
      <c r="C260" s="17"/>
      <c r="D260" s="18"/>
      <c r="E260" s="18"/>
      <c r="F260" s="18"/>
      <c r="G260" s="19"/>
      <c r="H260" s="24"/>
      <c r="I260" s="18"/>
      <c r="J260" s="17"/>
      <c r="K260" s="19"/>
      <c r="L260" s="18"/>
    </row>
    <row r="261" spans="1:12" ht="15" hidden="1" customHeight="1" outlineLevel="1">
      <c r="A261" s="22"/>
      <c r="B261" s="23"/>
      <c r="C261" s="17"/>
      <c r="D261" s="18"/>
      <c r="E261" s="18"/>
      <c r="F261" s="18"/>
      <c r="G261" s="19"/>
      <c r="H261" s="24"/>
      <c r="I261" s="18"/>
      <c r="J261" s="17"/>
      <c r="K261" s="19"/>
      <c r="L261" s="18"/>
    </row>
    <row r="262" spans="1:12" ht="15" hidden="1" customHeight="1" outlineLevel="1">
      <c r="A262" s="22"/>
      <c r="B262" s="23"/>
      <c r="C262" s="17"/>
      <c r="D262" s="18"/>
      <c r="E262" s="18"/>
      <c r="F262" s="18"/>
      <c r="G262" s="19"/>
      <c r="H262" s="24"/>
      <c r="I262" s="18"/>
      <c r="J262" s="17"/>
      <c r="K262" s="19"/>
      <c r="L262" s="18"/>
    </row>
    <row r="263" spans="1:12" ht="15" hidden="1" customHeight="1" outlineLevel="1">
      <c r="A263" s="22"/>
      <c r="B263" s="23"/>
      <c r="C263" s="17"/>
      <c r="D263" s="18"/>
      <c r="E263" s="18"/>
      <c r="F263" s="18"/>
      <c r="G263" s="19"/>
      <c r="H263" s="24"/>
      <c r="I263" s="18"/>
      <c r="J263" s="17"/>
      <c r="K263" s="19"/>
      <c r="L263" s="18"/>
    </row>
    <row r="264" spans="1:12" ht="15" hidden="1" customHeight="1" outlineLevel="1">
      <c r="A264" s="22"/>
      <c r="B264" s="23"/>
      <c r="C264" s="17"/>
      <c r="D264" s="18"/>
      <c r="E264" s="18"/>
      <c r="F264" s="18"/>
      <c r="G264" s="19"/>
      <c r="H264" s="24"/>
      <c r="I264" s="18"/>
      <c r="J264" s="17"/>
      <c r="K264" s="19"/>
      <c r="L264" s="18"/>
    </row>
    <row r="265" spans="1:12" ht="15" hidden="1" customHeight="1" outlineLevel="1">
      <c r="A265" s="22"/>
      <c r="B265" s="23"/>
      <c r="C265" s="17"/>
      <c r="D265" s="18"/>
      <c r="E265" s="18"/>
      <c r="F265" s="18"/>
      <c r="G265" s="19"/>
      <c r="H265" s="24"/>
      <c r="I265" s="18"/>
      <c r="J265" s="17"/>
      <c r="K265" s="19"/>
      <c r="L265" s="18"/>
    </row>
    <row r="266" spans="1:12" ht="15" hidden="1" customHeight="1" outlineLevel="1">
      <c r="A266" s="22"/>
      <c r="B266" s="23"/>
      <c r="C266" s="17"/>
      <c r="D266" s="18"/>
      <c r="E266" s="18"/>
      <c r="F266" s="18"/>
      <c r="G266" s="19"/>
      <c r="H266" s="24"/>
      <c r="I266" s="18"/>
      <c r="J266" s="17"/>
      <c r="K266" s="19"/>
      <c r="L266" s="18"/>
    </row>
    <row r="267" spans="1:12" ht="15" hidden="1" customHeight="1" outlineLevel="1">
      <c r="A267" s="22"/>
      <c r="B267" s="23"/>
      <c r="C267" s="17"/>
      <c r="D267" s="18"/>
      <c r="E267" s="18"/>
      <c r="F267" s="18"/>
      <c r="G267" s="19"/>
      <c r="H267" s="24"/>
      <c r="I267" s="18"/>
      <c r="J267" s="17"/>
      <c r="K267" s="19"/>
      <c r="L267" s="18"/>
    </row>
    <row r="268" spans="1:12" ht="15" hidden="1" customHeight="1" outlineLevel="1">
      <c r="A268" s="22"/>
      <c r="B268" s="23"/>
      <c r="C268" s="17"/>
      <c r="D268" s="18"/>
      <c r="E268" s="18"/>
      <c r="F268" s="18"/>
      <c r="G268" s="19"/>
      <c r="H268" s="24"/>
      <c r="I268" s="18"/>
      <c r="J268" s="17"/>
      <c r="K268" s="19"/>
      <c r="L268" s="18"/>
    </row>
    <row r="269" spans="1:12" ht="15" hidden="1" customHeight="1" outlineLevel="1">
      <c r="A269" s="22"/>
      <c r="B269" s="23"/>
      <c r="C269" s="17"/>
      <c r="D269" s="18"/>
      <c r="E269" s="18"/>
      <c r="F269" s="18"/>
      <c r="G269" s="19"/>
      <c r="H269" s="24"/>
      <c r="I269" s="18"/>
      <c r="J269" s="17"/>
      <c r="K269" s="19"/>
      <c r="L269" s="18"/>
    </row>
    <row r="270" spans="1:12" ht="15" hidden="1" customHeight="1" outlineLevel="1">
      <c r="A270" s="22"/>
      <c r="B270" s="23"/>
      <c r="C270" s="17"/>
      <c r="D270" s="18"/>
      <c r="E270" s="18"/>
      <c r="F270" s="18"/>
      <c r="G270" s="19"/>
      <c r="H270" s="24"/>
      <c r="I270" s="18"/>
      <c r="J270" s="17"/>
      <c r="K270" s="19"/>
      <c r="L270" s="18"/>
    </row>
    <row r="271" spans="1:12" ht="15" hidden="1" customHeight="1" outlineLevel="1">
      <c r="A271" s="22"/>
      <c r="B271" s="23"/>
      <c r="C271" s="17"/>
      <c r="D271" s="18"/>
      <c r="E271" s="18"/>
      <c r="F271" s="18"/>
      <c r="G271" s="19"/>
      <c r="H271" s="24"/>
      <c r="I271" s="18"/>
      <c r="J271" s="17"/>
      <c r="K271" s="19"/>
      <c r="L271" s="18"/>
    </row>
    <row r="272" spans="1:12" ht="15" hidden="1" customHeight="1" outlineLevel="1">
      <c r="A272" s="22"/>
      <c r="B272" s="23"/>
      <c r="C272" s="17"/>
      <c r="D272" s="18"/>
      <c r="E272" s="18"/>
      <c r="F272" s="18"/>
      <c r="G272" s="19"/>
      <c r="H272" s="24"/>
      <c r="I272" s="18"/>
      <c r="J272" s="17"/>
      <c r="K272" s="19"/>
      <c r="L272" s="18"/>
    </row>
    <row r="273" spans="1:12" ht="15" hidden="1" customHeight="1" outlineLevel="1">
      <c r="A273" s="22"/>
      <c r="B273" s="23"/>
      <c r="C273" s="17"/>
      <c r="D273" s="18"/>
      <c r="E273" s="18"/>
      <c r="F273" s="18"/>
      <c r="G273" s="19"/>
      <c r="H273" s="24"/>
      <c r="I273" s="18"/>
      <c r="J273" s="17"/>
      <c r="K273" s="19"/>
      <c r="L273" s="18"/>
    </row>
    <row r="274" spans="1:12" ht="15" hidden="1" customHeight="1" outlineLevel="1">
      <c r="A274" s="22"/>
      <c r="B274" s="23"/>
      <c r="C274" s="17"/>
      <c r="D274" s="18"/>
      <c r="E274" s="18"/>
      <c r="F274" s="18"/>
      <c r="G274" s="19"/>
      <c r="H274" s="24"/>
      <c r="I274" s="18"/>
      <c r="J274" s="17"/>
      <c r="K274" s="19"/>
      <c r="L274" s="18"/>
    </row>
    <row r="275" spans="1:12" ht="15" hidden="1" customHeight="1" outlineLevel="1">
      <c r="A275" s="22"/>
      <c r="B275" s="23"/>
      <c r="C275" s="17"/>
      <c r="D275" s="18"/>
      <c r="E275" s="18"/>
      <c r="F275" s="18"/>
      <c r="G275" s="19"/>
      <c r="H275" s="24"/>
      <c r="I275" s="18"/>
      <c r="J275" s="17"/>
      <c r="K275" s="19"/>
      <c r="L275" s="18"/>
    </row>
    <row r="276" spans="1:12" ht="15" hidden="1" customHeight="1" outlineLevel="1">
      <c r="A276" s="22"/>
      <c r="B276" s="23"/>
      <c r="C276" s="17"/>
      <c r="D276" s="18"/>
      <c r="E276" s="18"/>
      <c r="F276" s="18"/>
      <c r="G276" s="19"/>
      <c r="H276" s="24"/>
      <c r="I276" s="18"/>
      <c r="J276" s="17"/>
      <c r="K276" s="19"/>
      <c r="L276" s="18"/>
    </row>
    <row r="277" spans="1:12" ht="15" hidden="1" customHeight="1" outlineLevel="1">
      <c r="A277" s="22"/>
      <c r="B277" s="23"/>
      <c r="C277" s="17"/>
      <c r="D277" s="18"/>
      <c r="E277" s="18"/>
      <c r="F277" s="18"/>
      <c r="G277" s="19"/>
      <c r="H277" s="24"/>
      <c r="I277" s="18"/>
      <c r="J277" s="17"/>
      <c r="K277" s="19"/>
      <c r="L277" s="18"/>
    </row>
    <row r="278" spans="1:12" ht="15" hidden="1" customHeight="1" outlineLevel="1">
      <c r="A278" s="22"/>
      <c r="B278" s="23"/>
      <c r="C278" s="17"/>
      <c r="D278" s="18"/>
      <c r="E278" s="18"/>
      <c r="F278" s="18"/>
      <c r="G278" s="19"/>
      <c r="H278" s="24"/>
      <c r="I278" s="18"/>
      <c r="J278" s="17"/>
      <c r="K278" s="19"/>
      <c r="L278" s="18"/>
    </row>
    <row r="279" spans="1:12" ht="15" hidden="1" customHeight="1" outlineLevel="1">
      <c r="A279" s="22"/>
      <c r="B279" s="23"/>
      <c r="C279" s="17"/>
      <c r="D279" s="18"/>
      <c r="E279" s="18"/>
      <c r="F279" s="18"/>
      <c r="G279" s="19"/>
      <c r="H279" s="24"/>
      <c r="I279" s="18"/>
      <c r="J279" s="17"/>
      <c r="K279" s="19"/>
      <c r="L279" s="18"/>
    </row>
    <row r="280" spans="1:12" ht="15" hidden="1" customHeight="1" outlineLevel="1">
      <c r="A280" s="22"/>
      <c r="B280" s="23"/>
      <c r="C280" s="17"/>
      <c r="D280" s="18"/>
      <c r="E280" s="18"/>
      <c r="F280" s="18"/>
      <c r="G280" s="19"/>
      <c r="H280" s="24"/>
      <c r="I280" s="18"/>
      <c r="J280" s="17"/>
      <c r="K280" s="19"/>
      <c r="L280" s="18"/>
    </row>
    <row r="281" spans="1:12" ht="15" hidden="1" customHeight="1" outlineLevel="1">
      <c r="A281" s="22"/>
      <c r="B281" s="23"/>
      <c r="C281" s="17"/>
      <c r="D281" s="18"/>
      <c r="E281" s="18"/>
      <c r="F281" s="18"/>
      <c r="G281" s="19"/>
      <c r="H281" s="24"/>
      <c r="I281" s="18"/>
      <c r="J281" s="17"/>
      <c r="K281" s="19"/>
      <c r="L281" s="18"/>
    </row>
    <row r="282" spans="1:12" ht="15" hidden="1" customHeight="1" outlineLevel="1">
      <c r="A282" s="22"/>
      <c r="B282" s="23"/>
      <c r="C282" s="17"/>
      <c r="D282" s="18"/>
      <c r="E282" s="18"/>
      <c r="F282" s="18"/>
      <c r="G282" s="19"/>
      <c r="H282" s="24"/>
      <c r="I282" s="18"/>
      <c r="J282" s="17"/>
      <c r="K282" s="19"/>
      <c r="L282" s="18"/>
    </row>
    <row r="283" spans="1:12" ht="15" hidden="1" customHeight="1" outlineLevel="1">
      <c r="A283" s="22"/>
      <c r="B283" s="23"/>
      <c r="C283" s="17"/>
      <c r="D283" s="18"/>
      <c r="E283" s="18"/>
      <c r="F283" s="18"/>
      <c r="G283" s="19"/>
      <c r="H283" s="24"/>
      <c r="I283" s="18"/>
      <c r="J283" s="17"/>
      <c r="K283" s="19"/>
      <c r="L283" s="18"/>
    </row>
    <row r="284" spans="1:12" ht="15" hidden="1" customHeight="1" outlineLevel="1">
      <c r="A284" s="22"/>
      <c r="B284" s="23"/>
      <c r="C284" s="17"/>
      <c r="D284" s="18"/>
      <c r="E284" s="18"/>
      <c r="F284" s="18"/>
      <c r="G284" s="19"/>
      <c r="H284" s="24"/>
      <c r="I284" s="18"/>
      <c r="J284" s="17"/>
      <c r="K284" s="19"/>
      <c r="L284" s="18"/>
    </row>
    <row r="285" spans="1:12" ht="15" hidden="1" customHeight="1" outlineLevel="1">
      <c r="A285" s="22"/>
      <c r="B285" s="23"/>
      <c r="C285" s="17"/>
      <c r="D285" s="18"/>
      <c r="E285" s="18"/>
      <c r="F285" s="18"/>
      <c r="G285" s="19"/>
      <c r="H285" s="24"/>
      <c r="I285" s="18"/>
      <c r="J285" s="17"/>
      <c r="K285" s="19"/>
      <c r="L285" s="18"/>
    </row>
    <row r="286" spans="1:12" ht="15" hidden="1" customHeight="1" outlineLevel="1">
      <c r="A286" s="22"/>
      <c r="B286" s="23"/>
      <c r="C286" s="17"/>
      <c r="D286" s="18"/>
      <c r="E286" s="18"/>
      <c r="F286" s="18"/>
      <c r="G286" s="19"/>
      <c r="H286" s="24"/>
      <c r="I286" s="18"/>
      <c r="J286" s="17"/>
      <c r="K286" s="19"/>
      <c r="L286" s="18"/>
    </row>
    <row r="287" spans="1:12" ht="15" hidden="1" customHeight="1" outlineLevel="1">
      <c r="A287" s="22"/>
      <c r="B287" s="23"/>
      <c r="C287" s="17"/>
      <c r="D287" s="18"/>
      <c r="E287" s="18"/>
      <c r="F287" s="18"/>
      <c r="G287" s="19"/>
      <c r="H287" s="24"/>
      <c r="I287" s="18"/>
      <c r="J287" s="17"/>
      <c r="K287" s="19"/>
      <c r="L287" s="18"/>
    </row>
    <row r="288" spans="1:12" ht="15" hidden="1" customHeight="1" outlineLevel="1">
      <c r="A288" s="22"/>
      <c r="B288" s="23"/>
      <c r="C288" s="17"/>
      <c r="D288" s="18"/>
      <c r="E288" s="18"/>
      <c r="F288" s="18"/>
      <c r="G288" s="19"/>
      <c r="H288" s="24"/>
      <c r="I288" s="18"/>
      <c r="J288" s="17"/>
      <c r="K288" s="19"/>
      <c r="L288" s="18"/>
    </row>
    <row r="289" spans="1:12" ht="15" hidden="1" customHeight="1" outlineLevel="1">
      <c r="A289" s="22"/>
      <c r="B289" s="23"/>
      <c r="C289" s="17"/>
      <c r="D289" s="18"/>
      <c r="E289" s="18"/>
      <c r="F289" s="18"/>
      <c r="G289" s="19"/>
      <c r="H289" s="24"/>
      <c r="I289" s="18"/>
      <c r="J289" s="17"/>
      <c r="K289" s="19"/>
      <c r="L289" s="18"/>
    </row>
    <row r="290" spans="1:12" ht="15" hidden="1" customHeight="1" outlineLevel="1">
      <c r="A290" s="22"/>
      <c r="B290" s="23"/>
      <c r="C290" s="17"/>
      <c r="D290" s="18"/>
      <c r="E290" s="18"/>
      <c r="F290" s="18"/>
      <c r="G290" s="19"/>
      <c r="H290" s="24"/>
      <c r="I290" s="18"/>
      <c r="J290" s="17"/>
      <c r="K290" s="19"/>
      <c r="L290" s="18"/>
    </row>
    <row r="291" spans="1:12" ht="15" hidden="1" customHeight="1" outlineLevel="1">
      <c r="A291" s="22"/>
      <c r="B291" s="23"/>
      <c r="C291" s="17"/>
      <c r="D291" s="18"/>
      <c r="E291" s="18"/>
      <c r="F291" s="18"/>
      <c r="G291" s="19"/>
      <c r="H291" s="24"/>
      <c r="I291" s="18"/>
      <c r="J291" s="17"/>
      <c r="K291" s="19"/>
      <c r="L291" s="18"/>
    </row>
    <row r="292" spans="1:12" ht="15" hidden="1" customHeight="1" outlineLevel="1">
      <c r="A292" s="22"/>
      <c r="B292" s="23"/>
      <c r="C292" s="17"/>
      <c r="D292" s="18"/>
      <c r="E292" s="18"/>
      <c r="F292" s="18"/>
      <c r="G292" s="19"/>
      <c r="H292" s="24"/>
      <c r="I292" s="18"/>
      <c r="J292" s="17"/>
      <c r="K292" s="19"/>
      <c r="L292" s="18"/>
    </row>
    <row r="293" spans="1:12" ht="15" hidden="1" customHeight="1" outlineLevel="1">
      <c r="A293" s="22"/>
      <c r="B293" s="23"/>
      <c r="C293" s="17"/>
      <c r="D293" s="18"/>
      <c r="E293" s="18"/>
      <c r="F293" s="18"/>
      <c r="G293" s="19"/>
      <c r="H293" s="24"/>
      <c r="I293" s="18"/>
      <c r="J293" s="17"/>
      <c r="K293" s="19"/>
      <c r="L293" s="18"/>
    </row>
    <row r="294" spans="1:12" ht="15" hidden="1" customHeight="1" outlineLevel="1">
      <c r="A294" s="22"/>
      <c r="B294" s="23"/>
      <c r="C294" s="17"/>
      <c r="D294" s="18"/>
      <c r="E294" s="18"/>
      <c r="F294" s="18"/>
      <c r="G294" s="19"/>
      <c r="H294" s="24"/>
      <c r="I294" s="18"/>
      <c r="J294" s="17"/>
      <c r="K294" s="19"/>
      <c r="L294" s="18"/>
    </row>
    <row r="295" spans="1:12" ht="15" hidden="1" customHeight="1" outlineLevel="1">
      <c r="A295" s="22"/>
      <c r="B295" s="23"/>
      <c r="C295" s="17"/>
      <c r="D295" s="18"/>
      <c r="E295" s="18"/>
      <c r="F295" s="18"/>
      <c r="G295" s="19"/>
      <c r="H295" s="24"/>
      <c r="I295" s="18"/>
      <c r="J295" s="17"/>
      <c r="K295" s="19"/>
      <c r="L295" s="18"/>
    </row>
    <row r="296" spans="1:12" ht="15" hidden="1" customHeight="1" outlineLevel="1">
      <c r="A296" s="22"/>
      <c r="B296" s="23"/>
      <c r="C296" s="17"/>
      <c r="D296" s="18"/>
      <c r="E296" s="18"/>
      <c r="F296" s="18"/>
      <c r="G296" s="19"/>
      <c r="H296" s="24"/>
      <c r="I296" s="18"/>
      <c r="J296" s="17"/>
      <c r="K296" s="19"/>
      <c r="L296" s="18"/>
    </row>
    <row r="297" spans="1:12" ht="15" hidden="1" customHeight="1" outlineLevel="1">
      <c r="A297" s="22"/>
      <c r="B297" s="23"/>
      <c r="C297" s="17"/>
      <c r="D297" s="18"/>
      <c r="E297" s="18"/>
      <c r="F297" s="18"/>
      <c r="G297" s="19"/>
      <c r="H297" s="24"/>
      <c r="I297" s="18"/>
      <c r="J297" s="17"/>
      <c r="K297" s="19"/>
      <c r="L297" s="18"/>
    </row>
    <row r="298" spans="1:12" ht="15" hidden="1" customHeight="1" outlineLevel="1">
      <c r="A298" s="22"/>
      <c r="B298" s="23"/>
      <c r="C298" s="17"/>
      <c r="D298" s="18"/>
      <c r="E298" s="18"/>
      <c r="F298" s="18"/>
      <c r="G298" s="19"/>
      <c r="H298" s="24"/>
      <c r="I298" s="18"/>
      <c r="J298" s="17"/>
      <c r="K298" s="19"/>
      <c r="L298" s="18"/>
    </row>
    <row r="299" spans="1:12" ht="15" hidden="1" customHeight="1" outlineLevel="1">
      <c r="A299" s="22"/>
      <c r="B299" s="23"/>
      <c r="C299" s="17"/>
      <c r="D299" s="18"/>
      <c r="E299" s="18"/>
      <c r="F299" s="18"/>
      <c r="G299" s="19"/>
      <c r="H299" s="24"/>
      <c r="I299" s="18"/>
      <c r="J299" s="17"/>
      <c r="K299" s="19"/>
      <c r="L299" s="18"/>
    </row>
    <row r="300" spans="1:12" ht="15" hidden="1" customHeight="1" outlineLevel="1">
      <c r="A300" s="22"/>
      <c r="B300" s="23"/>
      <c r="C300" s="17"/>
      <c r="D300" s="18"/>
      <c r="E300" s="18"/>
      <c r="F300" s="18"/>
      <c r="G300" s="19"/>
      <c r="H300" s="24"/>
      <c r="I300" s="18"/>
      <c r="J300" s="17"/>
      <c r="K300" s="19"/>
      <c r="L300" s="18"/>
    </row>
    <row r="301" spans="1:12" ht="15" hidden="1" customHeight="1" outlineLevel="1">
      <c r="A301" s="22"/>
      <c r="B301" s="23"/>
      <c r="C301" s="17"/>
      <c r="D301" s="18"/>
      <c r="E301" s="18"/>
      <c r="F301" s="18"/>
      <c r="G301" s="19"/>
      <c r="H301" s="24"/>
      <c r="I301" s="18"/>
      <c r="J301" s="17"/>
      <c r="K301" s="19"/>
      <c r="L301" s="18"/>
    </row>
    <row r="302" spans="1:12" ht="15" hidden="1" customHeight="1" outlineLevel="1">
      <c r="A302" s="22"/>
      <c r="B302" s="23"/>
      <c r="C302" s="17"/>
      <c r="D302" s="18"/>
      <c r="E302" s="18"/>
      <c r="F302" s="18"/>
      <c r="G302" s="19"/>
      <c r="H302" s="24"/>
      <c r="I302" s="18"/>
      <c r="J302" s="17"/>
      <c r="K302" s="19"/>
      <c r="L302" s="18"/>
    </row>
    <row r="303" spans="1:12" ht="15" hidden="1" customHeight="1" outlineLevel="1">
      <c r="A303" s="22"/>
      <c r="B303" s="23"/>
      <c r="C303" s="17"/>
      <c r="D303" s="18"/>
      <c r="E303" s="18"/>
      <c r="F303" s="18"/>
      <c r="G303" s="19"/>
      <c r="H303" s="24"/>
      <c r="I303" s="18"/>
      <c r="J303" s="17"/>
      <c r="K303" s="19"/>
      <c r="L303" s="18"/>
    </row>
    <row r="304" spans="1:12" ht="15" hidden="1" customHeight="1" outlineLevel="1">
      <c r="A304" s="22"/>
      <c r="B304" s="23"/>
      <c r="C304" s="17"/>
      <c r="D304" s="18"/>
      <c r="E304" s="18"/>
      <c r="F304" s="18"/>
      <c r="G304" s="19"/>
      <c r="H304" s="24"/>
      <c r="I304" s="18"/>
      <c r="J304" s="17"/>
      <c r="K304" s="19"/>
      <c r="L304" s="18"/>
    </row>
    <row r="305" spans="1:12" ht="15" hidden="1" customHeight="1" outlineLevel="1">
      <c r="A305" s="22"/>
      <c r="B305" s="23"/>
      <c r="C305" s="17"/>
      <c r="D305" s="18"/>
      <c r="E305" s="18"/>
      <c r="F305" s="18"/>
      <c r="G305" s="19"/>
      <c r="H305" s="24"/>
      <c r="I305" s="18"/>
      <c r="J305" s="17"/>
      <c r="K305" s="19"/>
      <c r="L305" s="18"/>
    </row>
    <row r="306" spans="1:12" ht="15" hidden="1" customHeight="1" outlineLevel="1">
      <c r="A306" s="22"/>
      <c r="B306" s="23"/>
      <c r="C306" s="17"/>
      <c r="D306" s="18"/>
      <c r="E306" s="18"/>
      <c r="F306" s="18"/>
      <c r="G306" s="19"/>
      <c r="H306" s="24"/>
      <c r="I306" s="18"/>
      <c r="J306" s="17"/>
      <c r="K306" s="19"/>
      <c r="L306" s="18"/>
    </row>
    <row r="307" spans="1:12" ht="15" hidden="1" customHeight="1" outlineLevel="1">
      <c r="A307" s="22"/>
      <c r="B307" s="23"/>
      <c r="C307" s="17"/>
      <c r="D307" s="18"/>
      <c r="E307" s="18"/>
      <c r="F307" s="18"/>
      <c r="G307" s="19"/>
      <c r="H307" s="24"/>
      <c r="I307" s="18"/>
      <c r="J307" s="17"/>
      <c r="K307" s="19"/>
      <c r="L307" s="18"/>
    </row>
    <row r="308" spans="1:12" ht="15" hidden="1" customHeight="1" outlineLevel="1">
      <c r="A308" s="22"/>
      <c r="B308" s="23"/>
      <c r="C308" s="17"/>
      <c r="D308" s="18"/>
      <c r="E308" s="18"/>
      <c r="F308" s="18"/>
      <c r="G308" s="19"/>
      <c r="H308" s="24"/>
      <c r="I308" s="18"/>
      <c r="J308" s="17"/>
      <c r="K308" s="19"/>
      <c r="L308" s="18"/>
    </row>
    <row r="309" spans="1:12" ht="15" hidden="1" customHeight="1" outlineLevel="1">
      <c r="A309" s="22"/>
      <c r="B309" s="23"/>
      <c r="C309" s="17"/>
      <c r="D309" s="18"/>
      <c r="E309" s="18"/>
      <c r="F309" s="18"/>
      <c r="G309" s="19"/>
      <c r="H309" s="24"/>
      <c r="I309" s="18"/>
      <c r="J309" s="17"/>
      <c r="K309" s="19"/>
      <c r="L309" s="18"/>
    </row>
    <row r="310" spans="1:12" ht="15" hidden="1" customHeight="1" outlineLevel="1">
      <c r="A310" s="22"/>
      <c r="B310" s="23"/>
      <c r="C310" s="17"/>
      <c r="D310" s="18"/>
      <c r="E310" s="18"/>
      <c r="F310" s="18"/>
      <c r="G310" s="19"/>
      <c r="H310" s="24"/>
      <c r="I310" s="18"/>
      <c r="J310" s="17"/>
      <c r="K310" s="19"/>
      <c r="L310" s="18"/>
    </row>
    <row r="311" spans="1:12" ht="15" hidden="1" customHeight="1" outlineLevel="1">
      <c r="A311" s="22"/>
      <c r="B311" s="23"/>
      <c r="C311" s="17"/>
      <c r="D311" s="18"/>
      <c r="E311" s="18"/>
      <c r="F311" s="18"/>
      <c r="G311" s="19"/>
      <c r="H311" s="24"/>
      <c r="I311" s="18"/>
      <c r="J311" s="17"/>
      <c r="K311" s="19"/>
      <c r="L311" s="18"/>
    </row>
    <row r="312" spans="1:12" ht="15" hidden="1" customHeight="1" outlineLevel="1">
      <c r="A312" s="22"/>
      <c r="B312" s="23"/>
      <c r="C312" s="17"/>
      <c r="D312" s="18"/>
      <c r="E312" s="18"/>
      <c r="F312" s="18"/>
      <c r="G312" s="19"/>
      <c r="H312" s="24"/>
      <c r="I312" s="18"/>
      <c r="J312" s="17"/>
      <c r="K312" s="19"/>
      <c r="L312" s="18"/>
    </row>
    <row r="313" spans="1:12" ht="15" hidden="1" customHeight="1" outlineLevel="1">
      <c r="A313" s="22"/>
      <c r="B313" s="23"/>
      <c r="C313" s="17"/>
      <c r="D313" s="18"/>
      <c r="E313" s="18"/>
      <c r="F313" s="18"/>
      <c r="G313" s="19"/>
      <c r="H313" s="24"/>
      <c r="I313" s="18"/>
      <c r="J313" s="17"/>
      <c r="K313" s="19"/>
      <c r="L313" s="18"/>
    </row>
    <row r="314" spans="1:12" ht="15" hidden="1" customHeight="1" outlineLevel="1">
      <c r="A314" s="22"/>
      <c r="B314" s="23"/>
      <c r="C314" s="17"/>
      <c r="D314" s="18"/>
      <c r="E314" s="18"/>
      <c r="F314" s="18"/>
      <c r="G314" s="19"/>
      <c r="H314" s="24"/>
      <c r="I314" s="18"/>
      <c r="J314" s="17"/>
      <c r="K314" s="19"/>
      <c r="L314" s="18"/>
    </row>
    <row r="315" spans="1:12" ht="15" hidden="1" customHeight="1" outlineLevel="1">
      <c r="A315" s="22"/>
      <c r="B315" s="23"/>
      <c r="C315" s="17"/>
      <c r="D315" s="18"/>
      <c r="E315" s="18"/>
      <c r="F315" s="18"/>
      <c r="G315" s="19"/>
      <c r="H315" s="24"/>
      <c r="I315" s="18"/>
      <c r="J315" s="17"/>
      <c r="K315" s="19"/>
      <c r="L315" s="18"/>
    </row>
    <row r="316" spans="1:12" ht="15" hidden="1" customHeight="1" outlineLevel="1">
      <c r="A316" s="22"/>
      <c r="B316" s="23"/>
      <c r="C316" s="17"/>
      <c r="D316" s="18"/>
      <c r="E316" s="18"/>
      <c r="F316" s="18"/>
      <c r="G316" s="19"/>
      <c r="H316" s="24"/>
      <c r="I316" s="18"/>
      <c r="J316" s="17"/>
      <c r="K316" s="19"/>
      <c r="L316" s="18"/>
    </row>
    <row r="317" spans="1:12" collapsed="1"/>
  </sheetData>
  <autoFilter ref="A2:L316" xr:uid="{00000000-0009-0000-0000-000004000000}"/>
  <mergeCells count="1">
    <mergeCell ref="A1:L1"/>
  </mergeCells>
  <conditionalFormatting sqref="J3:J316">
    <cfRule type="cellIs" dxfId="26" priority="2" operator="equal">
      <formula>"Yes"</formula>
    </cfRule>
    <cfRule type="cellIs" dxfId="25" priority="3" operator="equal">
      <formula>"No"</formula>
    </cfRule>
  </conditionalFormatting>
  <dataValidations count="2">
    <dataValidation type="list" allowBlank="1" showErrorMessage="1" sqref="J3:J316" xr:uid="{00000000-0002-0000-0400-000000000000}">
      <formula1>"Yes,No"</formula1>
      <formula2>0</formula2>
    </dataValidation>
    <dataValidation type="list" allowBlank="1" showErrorMessage="1" sqref="C3:C316" xr:uid="{00000000-0002-0000-0400-000001000000}">
      <formula1>"Unit 1 / Phase 1,Unit 3 / Phase 2,Phase 3,Final"</formula1>
      <formula2>0</formula2>
    </dataValidation>
  </dataValidations>
  <pageMargins left="0.4" right="0.4" top="0.5" bottom="0.6" header="0.511811023622047" footer="0.51180555555555596"/>
  <pageSetup paperSize="9" fitToHeight="0" orientation="landscape" horizontalDpi="300" verticalDpi="300"/>
  <headerFooter>
    <oddFooter>&amp;C&amp;A  |  Page &amp;P of &amp;N&amp;RITC327W Project Progress Workbook</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B2E59"/>
    <pageSetUpPr fitToPage="1"/>
  </sheetPr>
  <dimension ref="A1:H102"/>
  <sheetViews>
    <sheetView showGridLines="0" zoomScaleNormal="100" workbookViewId="0">
      <pane ySplit="2" topLeftCell="A3" activePane="bottomLeft" state="frozen"/>
      <selection pane="bottomLeft" activeCell="F11" sqref="F11"/>
    </sheetView>
  </sheetViews>
  <sheetFormatPr defaultColWidth="9" defaultRowHeight="15" outlineLevelRow="1"/>
  <cols>
    <col min="1" max="1" width="15" style="1" customWidth="1"/>
    <col min="2" max="2" width="19" style="1" customWidth="1"/>
    <col min="3" max="4" width="44" style="1" customWidth="1"/>
    <col min="5" max="5" width="50" style="1" customWidth="1"/>
    <col min="6" max="6" width="24" style="1" customWidth="1"/>
    <col min="7" max="8" width="14" style="1" customWidth="1"/>
  </cols>
  <sheetData>
    <row r="1" spans="1:8" ht="30" customHeight="1">
      <c r="A1" s="28" t="s">
        <v>355</v>
      </c>
      <c r="B1" s="29"/>
      <c r="C1" s="29"/>
      <c r="D1" s="29"/>
      <c r="E1" s="29"/>
      <c r="F1" s="29"/>
      <c r="G1" s="29"/>
      <c r="H1" s="29"/>
    </row>
    <row r="2" spans="1:8" ht="31.5" customHeight="1">
      <c r="A2" s="15" t="s">
        <v>356</v>
      </c>
      <c r="B2" s="15" t="s">
        <v>117</v>
      </c>
      <c r="C2" s="15" t="s">
        <v>357</v>
      </c>
      <c r="D2" s="15" t="s">
        <v>358</v>
      </c>
      <c r="E2" s="15" t="s">
        <v>359</v>
      </c>
      <c r="F2" s="15" t="s">
        <v>360</v>
      </c>
      <c r="G2" s="15" t="s">
        <v>361</v>
      </c>
      <c r="H2" s="15" t="s">
        <v>123</v>
      </c>
    </row>
    <row r="3" spans="1:8" ht="36.75" customHeight="1">
      <c r="A3" s="19">
        <v>46257</v>
      </c>
      <c r="B3" s="17" t="s">
        <v>32</v>
      </c>
      <c r="C3" s="18" t="s">
        <v>362</v>
      </c>
      <c r="D3" s="18" t="s">
        <v>363</v>
      </c>
      <c r="E3" s="18" t="s">
        <v>364</v>
      </c>
      <c r="F3" s="18" t="s">
        <v>176</v>
      </c>
      <c r="G3" s="19">
        <v>46293</v>
      </c>
      <c r="H3" s="17" t="s">
        <v>365</v>
      </c>
    </row>
    <row r="4" spans="1:8" ht="51.75" customHeight="1">
      <c r="A4" s="19">
        <v>46317</v>
      </c>
      <c r="B4" s="17" t="s">
        <v>36</v>
      </c>
      <c r="C4" s="18" t="s">
        <v>366</v>
      </c>
      <c r="D4" s="18" t="s">
        <v>367</v>
      </c>
      <c r="E4" s="18" t="s">
        <v>368</v>
      </c>
      <c r="F4" s="18" t="s">
        <v>176</v>
      </c>
      <c r="G4" s="19">
        <v>46318</v>
      </c>
      <c r="H4" s="17" t="s">
        <v>365</v>
      </c>
    </row>
    <row r="5" spans="1:8" ht="51.75" customHeight="1">
      <c r="A5" s="19">
        <v>46317</v>
      </c>
      <c r="B5" s="17" t="s">
        <v>36</v>
      </c>
      <c r="C5" s="18" t="s">
        <v>369</v>
      </c>
      <c r="D5" s="18" t="s">
        <v>370</v>
      </c>
      <c r="E5" s="18" t="s">
        <v>371</v>
      </c>
      <c r="F5" s="18" t="s">
        <v>188</v>
      </c>
      <c r="G5" s="19">
        <v>46323</v>
      </c>
      <c r="H5" s="17" t="s">
        <v>365</v>
      </c>
    </row>
    <row r="6" spans="1:8" ht="36.75" customHeight="1">
      <c r="A6" s="19">
        <v>46317</v>
      </c>
      <c r="B6" s="17" t="s">
        <v>36</v>
      </c>
      <c r="C6" s="18" t="s">
        <v>372</v>
      </c>
      <c r="D6" s="18" t="s">
        <v>373</v>
      </c>
      <c r="E6" s="18" t="s">
        <v>374</v>
      </c>
      <c r="F6" s="18" t="s">
        <v>184</v>
      </c>
      <c r="G6" s="19">
        <v>46322</v>
      </c>
      <c r="H6" s="17" t="s">
        <v>365</v>
      </c>
    </row>
    <row r="7" spans="1:8" ht="51.75" customHeight="1">
      <c r="A7" s="19">
        <v>46317</v>
      </c>
      <c r="B7" s="17" t="s">
        <v>36</v>
      </c>
      <c r="C7" s="18" t="s">
        <v>375</v>
      </c>
      <c r="D7" s="18" t="s">
        <v>376</v>
      </c>
      <c r="E7" s="18" t="s">
        <v>377</v>
      </c>
      <c r="F7" s="18" t="s">
        <v>168</v>
      </c>
      <c r="G7" s="19">
        <v>46323</v>
      </c>
      <c r="H7" s="17" t="s">
        <v>365</v>
      </c>
    </row>
    <row r="8" spans="1:8" ht="51.75" customHeight="1">
      <c r="A8" s="19">
        <v>46317</v>
      </c>
      <c r="B8" s="17" t="s">
        <v>36</v>
      </c>
      <c r="C8" s="18" t="s">
        <v>378</v>
      </c>
      <c r="D8" s="18" t="s">
        <v>379</v>
      </c>
      <c r="E8" s="18" t="s">
        <v>380</v>
      </c>
      <c r="F8" s="18" t="s">
        <v>148</v>
      </c>
      <c r="G8" s="19">
        <v>46321</v>
      </c>
      <c r="H8" s="17" t="s">
        <v>365</v>
      </c>
    </row>
    <row r="9" spans="1:8" ht="51.75" customHeight="1">
      <c r="A9" s="19">
        <v>46317</v>
      </c>
      <c r="B9" s="17" t="s">
        <v>36</v>
      </c>
      <c r="C9" s="18" t="s">
        <v>381</v>
      </c>
      <c r="D9" s="18" t="s">
        <v>382</v>
      </c>
      <c r="E9" s="18" t="s">
        <v>383</v>
      </c>
      <c r="F9" s="18" t="s">
        <v>148</v>
      </c>
      <c r="G9" s="19">
        <v>46325</v>
      </c>
      <c r="H9" s="17" t="s">
        <v>365</v>
      </c>
    </row>
    <row r="10" spans="1:8" ht="21" customHeight="1">
      <c r="A10" s="19"/>
      <c r="B10" s="17"/>
      <c r="C10" s="18"/>
      <c r="D10" s="18"/>
      <c r="E10" s="18"/>
      <c r="F10" s="18"/>
      <c r="G10" s="19"/>
      <c r="H10" s="17"/>
    </row>
    <row r="11" spans="1:8" ht="21" customHeight="1">
      <c r="A11" s="19"/>
      <c r="B11" s="17"/>
      <c r="C11" s="18"/>
      <c r="D11" s="18"/>
      <c r="E11" s="18"/>
      <c r="F11" s="18"/>
      <c r="G11" s="19"/>
      <c r="H11" s="17"/>
    </row>
    <row r="12" spans="1:8" ht="21" customHeight="1">
      <c r="A12" s="19"/>
      <c r="B12" s="17"/>
      <c r="C12" s="18"/>
      <c r="D12" s="18"/>
      <c r="E12" s="18"/>
      <c r="F12" s="18"/>
      <c r="G12" s="19"/>
      <c r="H12" s="17"/>
    </row>
    <row r="13" spans="1:8" ht="14.25" hidden="1" customHeight="1" outlineLevel="1">
      <c r="A13" s="19"/>
      <c r="B13" s="17"/>
      <c r="C13" s="18"/>
      <c r="D13" s="18"/>
      <c r="E13" s="18"/>
      <c r="F13" s="18"/>
      <c r="G13" s="19"/>
      <c r="H13" s="17"/>
    </row>
    <row r="14" spans="1:8" ht="14.25" hidden="1" customHeight="1" outlineLevel="1">
      <c r="A14" s="19"/>
      <c r="B14" s="17"/>
      <c r="C14" s="18"/>
      <c r="D14" s="18"/>
      <c r="E14" s="18"/>
      <c r="F14" s="18"/>
      <c r="G14" s="19"/>
      <c r="H14" s="17"/>
    </row>
    <row r="15" spans="1:8" ht="14.25" hidden="1" customHeight="1" outlineLevel="1">
      <c r="A15" s="19"/>
      <c r="B15" s="17"/>
      <c r="C15" s="18"/>
      <c r="D15" s="18"/>
      <c r="E15" s="18"/>
      <c r="F15" s="18"/>
      <c r="G15" s="19"/>
      <c r="H15" s="17"/>
    </row>
    <row r="16" spans="1:8" ht="14.25" hidden="1" customHeight="1" outlineLevel="1">
      <c r="A16" s="19"/>
      <c r="B16" s="17"/>
      <c r="C16" s="18"/>
      <c r="D16" s="18"/>
      <c r="E16" s="18"/>
      <c r="F16" s="18"/>
      <c r="G16" s="19"/>
      <c r="H16" s="17"/>
    </row>
    <row r="17" spans="1:8" ht="14.25" hidden="1" customHeight="1" outlineLevel="1">
      <c r="A17" s="19"/>
      <c r="B17" s="17"/>
      <c r="C17" s="18"/>
      <c r="D17" s="18"/>
      <c r="E17" s="18"/>
      <c r="F17" s="18"/>
      <c r="G17" s="19"/>
      <c r="H17" s="17"/>
    </row>
    <row r="18" spans="1:8" ht="14.25" hidden="1" customHeight="1" outlineLevel="1">
      <c r="A18" s="19"/>
      <c r="B18" s="17"/>
      <c r="C18" s="18"/>
      <c r="D18" s="18"/>
      <c r="E18" s="18"/>
      <c r="F18" s="18"/>
      <c r="G18" s="19"/>
      <c r="H18" s="17"/>
    </row>
    <row r="19" spans="1:8" ht="14.25" hidden="1" customHeight="1" outlineLevel="1">
      <c r="A19" s="19"/>
      <c r="B19" s="17"/>
      <c r="C19" s="18"/>
      <c r="D19" s="18"/>
      <c r="E19" s="18"/>
      <c r="F19" s="18"/>
      <c r="G19" s="19"/>
      <c r="H19" s="17"/>
    </row>
    <row r="20" spans="1:8" ht="14.25" hidden="1" customHeight="1" outlineLevel="1">
      <c r="A20" s="19"/>
      <c r="B20" s="17"/>
      <c r="C20" s="18"/>
      <c r="D20" s="18"/>
      <c r="E20" s="18"/>
      <c r="F20" s="18"/>
      <c r="G20" s="19"/>
      <c r="H20" s="17"/>
    </row>
    <row r="21" spans="1:8" ht="14.25" hidden="1" customHeight="1" outlineLevel="1">
      <c r="A21" s="19"/>
      <c r="B21" s="17"/>
      <c r="C21" s="18"/>
      <c r="D21" s="18"/>
      <c r="E21" s="18"/>
      <c r="F21" s="18"/>
      <c r="G21" s="19"/>
      <c r="H21" s="17"/>
    </row>
    <row r="22" spans="1:8" ht="14.25" hidden="1" customHeight="1" outlineLevel="1">
      <c r="A22" s="19"/>
      <c r="B22" s="17"/>
      <c r="C22" s="18"/>
      <c r="D22" s="18"/>
      <c r="E22" s="18"/>
      <c r="F22" s="18"/>
      <c r="G22" s="19"/>
      <c r="H22" s="17"/>
    </row>
    <row r="23" spans="1:8" ht="14.25" hidden="1" customHeight="1" outlineLevel="1">
      <c r="A23" s="19"/>
      <c r="B23" s="17"/>
      <c r="C23" s="18"/>
      <c r="D23" s="18"/>
      <c r="E23" s="18"/>
      <c r="F23" s="18"/>
      <c r="G23" s="19"/>
      <c r="H23" s="17"/>
    </row>
    <row r="24" spans="1:8" ht="14.25" hidden="1" customHeight="1" outlineLevel="1">
      <c r="A24" s="19"/>
      <c r="B24" s="17"/>
      <c r="C24" s="18"/>
      <c r="D24" s="18"/>
      <c r="E24" s="18"/>
      <c r="F24" s="18"/>
      <c r="G24" s="19"/>
      <c r="H24" s="17"/>
    </row>
    <row r="25" spans="1:8" ht="14.25" hidden="1" customHeight="1" outlineLevel="1">
      <c r="A25" s="19"/>
      <c r="B25" s="17"/>
      <c r="C25" s="18"/>
      <c r="D25" s="18"/>
      <c r="E25" s="18"/>
      <c r="F25" s="18"/>
      <c r="G25" s="19"/>
      <c r="H25" s="17"/>
    </row>
    <row r="26" spans="1:8" ht="14.25" hidden="1" customHeight="1" outlineLevel="1">
      <c r="A26" s="19"/>
      <c r="B26" s="17"/>
      <c r="C26" s="18"/>
      <c r="D26" s="18"/>
      <c r="E26" s="18"/>
      <c r="F26" s="18"/>
      <c r="G26" s="19"/>
      <c r="H26" s="17"/>
    </row>
    <row r="27" spans="1:8" ht="14.25" hidden="1" customHeight="1" outlineLevel="1">
      <c r="A27" s="19"/>
      <c r="B27" s="17"/>
      <c r="C27" s="18"/>
      <c r="D27" s="18"/>
      <c r="E27" s="18"/>
      <c r="F27" s="18"/>
      <c r="G27" s="19"/>
      <c r="H27" s="17"/>
    </row>
    <row r="28" spans="1:8" ht="14.25" hidden="1" customHeight="1" outlineLevel="1">
      <c r="A28" s="19"/>
      <c r="B28" s="17"/>
      <c r="C28" s="18"/>
      <c r="D28" s="18"/>
      <c r="E28" s="18"/>
      <c r="F28" s="18"/>
      <c r="G28" s="19"/>
      <c r="H28" s="17"/>
    </row>
    <row r="29" spans="1:8" ht="14.25" hidden="1" customHeight="1" outlineLevel="1">
      <c r="A29" s="19"/>
      <c r="B29" s="17"/>
      <c r="C29" s="18"/>
      <c r="D29" s="18"/>
      <c r="E29" s="18"/>
      <c r="F29" s="18"/>
      <c r="G29" s="19"/>
      <c r="H29" s="17"/>
    </row>
    <row r="30" spans="1:8" ht="14.25" hidden="1" customHeight="1" outlineLevel="1">
      <c r="A30" s="19"/>
      <c r="B30" s="17"/>
      <c r="C30" s="18"/>
      <c r="D30" s="18"/>
      <c r="E30" s="18"/>
      <c r="F30" s="18"/>
      <c r="G30" s="19"/>
      <c r="H30" s="17"/>
    </row>
    <row r="31" spans="1:8" ht="14.25" hidden="1" customHeight="1" outlineLevel="1">
      <c r="A31" s="19"/>
      <c r="B31" s="17"/>
      <c r="C31" s="18"/>
      <c r="D31" s="18"/>
      <c r="E31" s="18"/>
      <c r="F31" s="18"/>
      <c r="G31" s="19"/>
      <c r="H31" s="17"/>
    </row>
    <row r="32" spans="1:8" ht="14.25" hidden="1" customHeight="1" outlineLevel="1">
      <c r="A32" s="19"/>
      <c r="B32" s="17"/>
      <c r="C32" s="18"/>
      <c r="D32" s="18"/>
      <c r="E32" s="18"/>
      <c r="F32" s="18"/>
      <c r="G32" s="19"/>
      <c r="H32" s="17"/>
    </row>
    <row r="33" spans="1:8" ht="14.25" hidden="1" customHeight="1" outlineLevel="1">
      <c r="A33" s="19"/>
      <c r="B33" s="17"/>
      <c r="C33" s="18"/>
      <c r="D33" s="18"/>
      <c r="E33" s="18"/>
      <c r="F33" s="18"/>
      <c r="G33" s="19"/>
      <c r="H33" s="17"/>
    </row>
    <row r="34" spans="1:8" ht="14.25" hidden="1" customHeight="1" outlineLevel="1">
      <c r="A34" s="19"/>
      <c r="B34" s="17"/>
      <c r="C34" s="18"/>
      <c r="D34" s="18"/>
      <c r="E34" s="18"/>
      <c r="F34" s="18"/>
      <c r="G34" s="19"/>
      <c r="H34" s="17"/>
    </row>
    <row r="35" spans="1:8" ht="14.25" hidden="1" customHeight="1" outlineLevel="1">
      <c r="A35" s="19"/>
      <c r="B35" s="17"/>
      <c r="C35" s="18"/>
      <c r="D35" s="18"/>
      <c r="E35" s="18"/>
      <c r="F35" s="18"/>
      <c r="G35" s="19"/>
      <c r="H35" s="17"/>
    </row>
    <row r="36" spans="1:8" ht="14.25" hidden="1" customHeight="1" outlineLevel="1">
      <c r="A36" s="19"/>
      <c r="B36" s="17"/>
      <c r="C36" s="18"/>
      <c r="D36" s="18"/>
      <c r="E36" s="18"/>
      <c r="F36" s="18"/>
      <c r="G36" s="19"/>
      <c r="H36" s="17"/>
    </row>
    <row r="37" spans="1:8" ht="14.25" hidden="1" customHeight="1" outlineLevel="1">
      <c r="A37" s="19"/>
      <c r="B37" s="17"/>
      <c r="C37" s="18"/>
      <c r="D37" s="18"/>
      <c r="E37" s="18"/>
      <c r="F37" s="18"/>
      <c r="G37" s="19"/>
      <c r="H37" s="17"/>
    </row>
    <row r="38" spans="1:8" ht="14.25" hidden="1" customHeight="1" outlineLevel="1">
      <c r="A38" s="19"/>
      <c r="B38" s="17"/>
      <c r="C38" s="18"/>
      <c r="D38" s="18"/>
      <c r="E38" s="18"/>
      <c r="F38" s="18"/>
      <c r="G38" s="19"/>
      <c r="H38" s="17"/>
    </row>
    <row r="39" spans="1:8" ht="14.25" hidden="1" customHeight="1" outlineLevel="1">
      <c r="A39" s="19"/>
      <c r="B39" s="17"/>
      <c r="C39" s="18"/>
      <c r="D39" s="18"/>
      <c r="E39" s="18"/>
      <c r="F39" s="18"/>
      <c r="G39" s="19"/>
      <c r="H39" s="17"/>
    </row>
    <row r="40" spans="1:8" ht="14.25" hidden="1" customHeight="1" outlineLevel="1">
      <c r="A40" s="19"/>
      <c r="B40" s="17"/>
      <c r="C40" s="18"/>
      <c r="D40" s="18"/>
      <c r="E40" s="18"/>
      <c r="F40" s="18"/>
      <c r="G40" s="19"/>
      <c r="H40" s="17"/>
    </row>
    <row r="41" spans="1:8" ht="14.25" hidden="1" customHeight="1" outlineLevel="1">
      <c r="A41" s="19"/>
      <c r="B41" s="17"/>
      <c r="C41" s="18"/>
      <c r="D41" s="18"/>
      <c r="E41" s="18"/>
      <c r="F41" s="18"/>
      <c r="G41" s="19"/>
      <c r="H41" s="17"/>
    </row>
    <row r="42" spans="1:8" ht="14.25" hidden="1" customHeight="1" outlineLevel="1">
      <c r="A42" s="19"/>
      <c r="B42" s="17"/>
      <c r="C42" s="18"/>
      <c r="D42" s="18"/>
      <c r="E42" s="18"/>
      <c r="F42" s="18"/>
      <c r="G42" s="19"/>
      <c r="H42" s="17"/>
    </row>
    <row r="43" spans="1:8" ht="14.25" hidden="1" customHeight="1" outlineLevel="1">
      <c r="A43" s="19"/>
      <c r="B43" s="17"/>
      <c r="C43" s="18"/>
      <c r="D43" s="18"/>
      <c r="E43" s="18"/>
      <c r="F43" s="18"/>
      <c r="G43" s="19"/>
      <c r="H43" s="17"/>
    </row>
    <row r="44" spans="1:8" ht="14.25" hidden="1" customHeight="1" outlineLevel="1">
      <c r="A44" s="19"/>
      <c r="B44" s="17"/>
      <c r="C44" s="18"/>
      <c r="D44" s="18"/>
      <c r="E44" s="18"/>
      <c r="F44" s="18"/>
      <c r="G44" s="19"/>
      <c r="H44" s="17"/>
    </row>
    <row r="45" spans="1:8" ht="14.25" hidden="1" customHeight="1" outlineLevel="1">
      <c r="A45" s="19"/>
      <c r="B45" s="17"/>
      <c r="C45" s="18"/>
      <c r="D45" s="18"/>
      <c r="E45" s="18"/>
      <c r="F45" s="18"/>
      <c r="G45" s="19"/>
      <c r="H45" s="17"/>
    </row>
    <row r="46" spans="1:8" ht="14.25" hidden="1" customHeight="1" outlineLevel="1">
      <c r="A46" s="19"/>
      <c r="B46" s="17"/>
      <c r="C46" s="18"/>
      <c r="D46" s="18"/>
      <c r="E46" s="18"/>
      <c r="F46" s="18"/>
      <c r="G46" s="19"/>
      <c r="H46" s="17"/>
    </row>
    <row r="47" spans="1:8" ht="14.25" hidden="1" customHeight="1" outlineLevel="1">
      <c r="A47" s="19"/>
      <c r="B47" s="17"/>
      <c r="C47" s="18"/>
      <c r="D47" s="18"/>
      <c r="E47" s="18"/>
      <c r="F47" s="18"/>
      <c r="G47" s="19"/>
      <c r="H47" s="17"/>
    </row>
    <row r="48" spans="1:8" ht="14.25" hidden="1" customHeight="1" outlineLevel="1">
      <c r="A48" s="19"/>
      <c r="B48" s="17"/>
      <c r="C48" s="18"/>
      <c r="D48" s="18"/>
      <c r="E48" s="18"/>
      <c r="F48" s="18"/>
      <c r="G48" s="19"/>
      <c r="H48" s="17"/>
    </row>
    <row r="49" spans="1:8" ht="14.25" hidden="1" customHeight="1" outlineLevel="1">
      <c r="A49" s="19"/>
      <c r="B49" s="17"/>
      <c r="C49" s="18"/>
      <c r="D49" s="18"/>
      <c r="E49" s="18"/>
      <c r="F49" s="18"/>
      <c r="G49" s="19"/>
      <c r="H49" s="17"/>
    </row>
    <row r="50" spans="1:8" ht="14.25" hidden="1" customHeight="1" outlineLevel="1">
      <c r="A50" s="19"/>
      <c r="B50" s="17"/>
      <c r="C50" s="18"/>
      <c r="D50" s="18"/>
      <c r="E50" s="18"/>
      <c r="F50" s="18"/>
      <c r="G50" s="19"/>
      <c r="H50" s="17"/>
    </row>
    <row r="51" spans="1:8" ht="14.25" hidden="1" customHeight="1" outlineLevel="1">
      <c r="A51" s="19"/>
      <c r="B51" s="17"/>
      <c r="C51" s="18"/>
      <c r="D51" s="18"/>
      <c r="E51" s="18"/>
      <c r="F51" s="18"/>
      <c r="G51" s="19"/>
      <c r="H51" s="17"/>
    </row>
    <row r="52" spans="1:8" ht="14.25" hidden="1" customHeight="1" outlineLevel="1">
      <c r="A52" s="19"/>
      <c r="B52" s="17"/>
      <c r="C52" s="18"/>
      <c r="D52" s="18"/>
      <c r="E52" s="18"/>
      <c r="F52" s="18"/>
      <c r="G52" s="19"/>
      <c r="H52" s="17"/>
    </row>
    <row r="53" spans="1:8" ht="14.25" hidden="1" customHeight="1" outlineLevel="1">
      <c r="A53" s="19"/>
      <c r="B53" s="17"/>
      <c r="C53" s="18"/>
      <c r="D53" s="18"/>
      <c r="E53" s="18"/>
      <c r="F53" s="18"/>
      <c r="G53" s="19"/>
      <c r="H53" s="17"/>
    </row>
    <row r="54" spans="1:8" ht="14.25" hidden="1" customHeight="1" outlineLevel="1">
      <c r="A54" s="19"/>
      <c r="B54" s="17"/>
      <c r="C54" s="18"/>
      <c r="D54" s="18"/>
      <c r="E54" s="18"/>
      <c r="F54" s="18"/>
      <c r="G54" s="19"/>
      <c r="H54" s="17"/>
    </row>
    <row r="55" spans="1:8" ht="14.25" hidden="1" customHeight="1" outlineLevel="1">
      <c r="A55" s="19"/>
      <c r="B55" s="17"/>
      <c r="C55" s="18"/>
      <c r="D55" s="18"/>
      <c r="E55" s="18"/>
      <c r="F55" s="18"/>
      <c r="G55" s="19"/>
      <c r="H55" s="17"/>
    </row>
    <row r="56" spans="1:8" ht="14.25" hidden="1" customHeight="1" outlineLevel="1">
      <c r="A56" s="19"/>
      <c r="B56" s="17"/>
      <c r="C56" s="18"/>
      <c r="D56" s="18"/>
      <c r="E56" s="18"/>
      <c r="F56" s="18"/>
      <c r="G56" s="19"/>
      <c r="H56" s="17"/>
    </row>
    <row r="57" spans="1:8" ht="14.25" hidden="1" customHeight="1" outlineLevel="1">
      <c r="A57" s="19"/>
      <c r="B57" s="17"/>
      <c r="C57" s="18"/>
      <c r="D57" s="18"/>
      <c r="E57" s="18"/>
      <c r="F57" s="18"/>
      <c r="G57" s="19"/>
      <c r="H57" s="17"/>
    </row>
    <row r="58" spans="1:8" ht="14.25" hidden="1" customHeight="1" outlineLevel="1">
      <c r="A58" s="19"/>
      <c r="B58" s="17"/>
      <c r="C58" s="18"/>
      <c r="D58" s="18"/>
      <c r="E58" s="18"/>
      <c r="F58" s="18"/>
      <c r="G58" s="19"/>
      <c r="H58" s="17"/>
    </row>
    <row r="59" spans="1:8" ht="14.25" hidden="1" customHeight="1" outlineLevel="1">
      <c r="A59" s="19"/>
      <c r="B59" s="17"/>
      <c r="C59" s="18"/>
      <c r="D59" s="18"/>
      <c r="E59" s="18"/>
      <c r="F59" s="18"/>
      <c r="G59" s="19"/>
      <c r="H59" s="17"/>
    </row>
    <row r="60" spans="1:8" ht="14.25" hidden="1" customHeight="1" outlineLevel="1">
      <c r="A60" s="19"/>
      <c r="B60" s="17"/>
      <c r="C60" s="18"/>
      <c r="D60" s="18"/>
      <c r="E60" s="18"/>
      <c r="F60" s="18"/>
      <c r="G60" s="19"/>
      <c r="H60" s="17"/>
    </row>
    <row r="61" spans="1:8" ht="14.25" hidden="1" customHeight="1" outlineLevel="1">
      <c r="A61" s="19"/>
      <c r="B61" s="17"/>
      <c r="C61" s="18"/>
      <c r="D61" s="18"/>
      <c r="E61" s="18"/>
      <c r="F61" s="18"/>
      <c r="G61" s="19"/>
      <c r="H61" s="17"/>
    </row>
    <row r="62" spans="1:8" ht="14.25" hidden="1" customHeight="1" outlineLevel="1">
      <c r="A62" s="19"/>
      <c r="B62" s="17"/>
      <c r="C62" s="18"/>
      <c r="D62" s="18"/>
      <c r="E62" s="18"/>
      <c r="F62" s="18"/>
      <c r="G62" s="19"/>
      <c r="H62" s="17"/>
    </row>
    <row r="63" spans="1:8" ht="14.25" hidden="1" customHeight="1" outlineLevel="1">
      <c r="A63" s="19"/>
      <c r="B63" s="17"/>
      <c r="C63" s="18"/>
      <c r="D63" s="18"/>
      <c r="E63" s="18"/>
      <c r="F63" s="18"/>
      <c r="G63" s="19"/>
      <c r="H63" s="17"/>
    </row>
    <row r="64" spans="1:8" ht="14.25" hidden="1" customHeight="1" outlineLevel="1">
      <c r="A64" s="19"/>
      <c r="B64" s="17"/>
      <c r="C64" s="18"/>
      <c r="D64" s="18"/>
      <c r="E64" s="18"/>
      <c r="F64" s="18"/>
      <c r="G64" s="19"/>
      <c r="H64" s="17"/>
    </row>
    <row r="65" spans="1:8" ht="14.25" hidden="1" customHeight="1" outlineLevel="1">
      <c r="A65" s="19"/>
      <c r="B65" s="17"/>
      <c r="C65" s="18"/>
      <c r="D65" s="18"/>
      <c r="E65" s="18"/>
      <c r="F65" s="18"/>
      <c r="G65" s="19"/>
      <c r="H65" s="17"/>
    </row>
    <row r="66" spans="1:8" ht="14.25" hidden="1" customHeight="1" outlineLevel="1">
      <c r="A66" s="19"/>
      <c r="B66" s="17"/>
      <c r="C66" s="18"/>
      <c r="D66" s="18"/>
      <c r="E66" s="18"/>
      <c r="F66" s="18"/>
      <c r="G66" s="19"/>
      <c r="H66" s="17"/>
    </row>
    <row r="67" spans="1:8" ht="14.25" hidden="1" customHeight="1" outlineLevel="1">
      <c r="A67" s="19"/>
      <c r="B67" s="17"/>
      <c r="C67" s="18"/>
      <c r="D67" s="18"/>
      <c r="E67" s="18"/>
      <c r="F67" s="18"/>
      <c r="G67" s="19"/>
      <c r="H67" s="17"/>
    </row>
    <row r="68" spans="1:8" ht="14.25" hidden="1" customHeight="1" outlineLevel="1">
      <c r="A68" s="19"/>
      <c r="B68" s="17"/>
      <c r="C68" s="18"/>
      <c r="D68" s="18"/>
      <c r="E68" s="18"/>
      <c r="F68" s="18"/>
      <c r="G68" s="19"/>
      <c r="H68" s="17"/>
    </row>
    <row r="69" spans="1:8" ht="14.25" hidden="1" customHeight="1" outlineLevel="1">
      <c r="A69" s="19"/>
      <c r="B69" s="17"/>
      <c r="C69" s="18"/>
      <c r="D69" s="18"/>
      <c r="E69" s="18"/>
      <c r="F69" s="18"/>
      <c r="G69" s="19"/>
      <c r="H69" s="17"/>
    </row>
    <row r="70" spans="1:8" ht="14.25" hidden="1" customHeight="1" outlineLevel="1">
      <c r="A70" s="19"/>
      <c r="B70" s="17"/>
      <c r="C70" s="18"/>
      <c r="D70" s="18"/>
      <c r="E70" s="18"/>
      <c r="F70" s="18"/>
      <c r="G70" s="19"/>
      <c r="H70" s="17"/>
    </row>
    <row r="71" spans="1:8" ht="14.25" hidden="1" customHeight="1" outlineLevel="1">
      <c r="A71" s="19"/>
      <c r="B71" s="17"/>
      <c r="C71" s="18"/>
      <c r="D71" s="18"/>
      <c r="E71" s="18"/>
      <c r="F71" s="18"/>
      <c r="G71" s="19"/>
      <c r="H71" s="17"/>
    </row>
    <row r="72" spans="1:8" ht="14.25" hidden="1" customHeight="1" outlineLevel="1">
      <c r="A72" s="19"/>
      <c r="B72" s="17"/>
      <c r="C72" s="18"/>
      <c r="D72" s="18"/>
      <c r="E72" s="18"/>
      <c r="F72" s="18"/>
      <c r="G72" s="19"/>
      <c r="H72" s="17"/>
    </row>
    <row r="73" spans="1:8" ht="14.25" hidden="1" customHeight="1" outlineLevel="1">
      <c r="A73" s="19"/>
      <c r="B73" s="17"/>
      <c r="C73" s="18"/>
      <c r="D73" s="18"/>
      <c r="E73" s="18"/>
      <c r="F73" s="18"/>
      <c r="G73" s="19"/>
      <c r="H73" s="17"/>
    </row>
    <row r="74" spans="1:8" ht="14.25" hidden="1" customHeight="1" outlineLevel="1">
      <c r="A74" s="19"/>
      <c r="B74" s="17"/>
      <c r="C74" s="18"/>
      <c r="D74" s="18"/>
      <c r="E74" s="18"/>
      <c r="F74" s="18"/>
      <c r="G74" s="19"/>
      <c r="H74" s="17"/>
    </row>
    <row r="75" spans="1:8" ht="14.25" hidden="1" customHeight="1" outlineLevel="1">
      <c r="A75" s="19"/>
      <c r="B75" s="17"/>
      <c r="C75" s="18"/>
      <c r="D75" s="18"/>
      <c r="E75" s="18"/>
      <c r="F75" s="18"/>
      <c r="G75" s="19"/>
      <c r="H75" s="17"/>
    </row>
    <row r="76" spans="1:8" ht="14.25" hidden="1" customHeight="1" outlineLevel="1">
      <c r="A76" s="19"/>
      <c r="B76" s="17"/>
      <c r="C76" s="18"/>
      <c r="D76" s="18"/>
      <c r="E76" s="18"/>
      <c r="F76" s="18"/>
      <c r="G76" s="19"/>
      <c r="H76" s="17"/>
    </row>
    <row r="77" spans="1:8" ht="14.25" hidden="1" customHeight="1" outlineLevel="1">
      <c r="A77" s="19"/>
      <c r="B77" s="17"/>
      <c r="C77" s="18"/>
      <c r="D77" s="18"/>
      <c r="E77" s="18"/>
      <c r="F77" s="18"/>
      <c r="G77" s="19"/>
      <c r="H77" s="17"/>
    </row>
    <row r="78" spans="1:8" ht="14.25" hidden="1" customHeight="1" outlineLevel="1">
      <c r="A78" s="19"/>
      <c r="B78" s="17"/>
      <c r="C78" s="18"/>
      <c r="D78" s="18"/>
      <c r="E78" s="18"/>
      <c r="F78" s="18"/>
      <c r="G78" s="19"/>
      <c r="H78" s="17"/>
    </row>
    <row r="79" spans="1:8" ht="14.25" hidden="1" customHeight="1" outlineLevel="1">
      <c r="A79" s="19"/>
      <c r="B79" s="17"/>
      <c r="C79" s="18"/>
      <c r="D79" s="18"/>
      <c r="E79" s="18"/>
      <c r="F79" s="18"/>
      <c r="G79" s="19"/>
      <c r="H79" s="17"/>
    </row>
    <row r="80" spans="1:8" ht="14.25" hidden="1" customHeight="1" outlineLevel="1">
      <c r="A80" s="19"/>
      <c r="B80" s="17"/>
      <c r="C80" s="18"/>
      <c r="D80" s="18"/>
      <c r="E80" s="18"/>
      <c r="F80" s="18"/>
      <c r="G80" s="19"/>
      <c r="H80" s="17"/>
    </row>
    <row r="81" spans="1:8" ht="14.25" hidden="1" customHeight="1" outlineLevel="1">
      <c r="A81" s="19"/>
      <c r="B81" s="17"/>
      <c r="C81" s="18"/>
      <c r="D81" s="18"/>
      <c r="E81" s="18"/>
      <c r="F81" s="18"/>
      <c r="G81" s="19"/>
      <c r="H81" s="17"/>
    </row>
    <row r="82" spans="1:8" ht="14.25" hidden="1" customHeight="1" outlineLevel="1">
      <c r="A82" s="19"/>
      <c r="B82" s="17"/>
      <c r="C82" s="18"/>
      <c r="D82" s="18"/>
      <c r="E82" s="18"/>
      <c r="F82" s="18"/>
      <c r="G82" s="19"/>
      <c r="H82" s="17"/>
    </row>
    <row r="83" spans="1:8" ht="14.25" hidden="1" customHeight="1" outlineLevel="1">
      <c r="A83" s="19"/>
      <c r="B83" s="17"/>
      <c r="C83" s="18"/>
      <c r="D83" s="18"/>
      <c r="E83" s="18"/>
      <c r="F83" s="18"/>
      <c r="G83" s="19"/>
      <c r="H83" s="17"/>
    </row>
    <row r="84" spans="1:8" ht="14.25" hidden="1" customHeight="1" outlineLevel="1">
      <c r="A84" s="19"/>
      <c r="B84" s="17"/>
      <c r="C84" s="18"/>
      <c r="D84" s="18"/>
      <c r="E84" s="18"/>
      <c r="F84" s="18"/>
      <c r="G84" s="19"/>
      <c r="H84" s="17"/>
    </row>
    <row r="85" spans="1:8" ht="14.25" hidden="1" customHeight="1" outlineLevel="1">
      <c r="A85" s="19"/>
      <c r="B85" s="17"/>
      <c r="C85" s="18"/>
      <c r="D85" s="18"/>
      <c r="E85" s="18"/>
      <c r="F85" s="18"/>
      <c r="G85" s="19"/>
      <c r="H85" s="17"/>
    </row>
    <row r="86" spans="1:8" ht="14.25" hidden="1" customHeight="1" outlineLevel="1">
      <c r="A86" s="19"/>
      <c r="B86" s="17"/>
      <c r="C86" s="18"/>
      <c r="D86" s="18"/>
      <c r="E86" s="18"/>
      <c r="F86" s="18"/>
      <c r="G86" s="19"/>
      <c r="H86" s="17"/>
    </row>
    <row r="87" spans="1:8" ht="14.25" hidden="1" customHeight="1" outlineLevel="1">
      <c r="A87" s="19"/>
      <c r="B87" s="17"/>
      <c r="C87" s="18"/>
      <c r="D87" s="18"/>
      <c r="E87" s="18"/>
      <c r="F87" s="18"/>
      <c r="G87" s="19"/>
      <c r="H87" s="17"/>
    </row>
    <row r="88" spans="1:8" ht="14.25" hidden="1" customHeight="1" outlineLevel="1">
      <c r="A88" s="19"/>
      <c r="B88" s="17"/>
      <c r="C88" s="18"/>
      <c r="D88" s="18"/>
      <c r="E88" s="18"/>
      <c r="F88" s="18"/>
      <c r="G88" s="19"/>
      <c r="H88" s="17"/>
    </row>
    <row r="89" spans="1:8" ht="14.25" hidden="1" customHeight="1" outlineLevel="1">
      <c r="A89" s="19"/>
      <c r="B89" s="17"/>
      <c r="C89" s="18"/>
      <c r="D89" s="18"/>
      <c r="E89" s="18"/>
      <c r="F89" s="18"/>
      <c r="G89" s="19"/>
      <c r="H89" s="17"/>
    </row>
    <row r="90" spans="1:8" ht="14.25" hidden="1" customHeight="1" outlineLevel="1">
      <c r="A90" s="19"/>
      <c r="B90" s="17"/>
      <c r="C90" s="18"/>
      <c r="D90" s="18"/>
      <c r="E90" s="18"/>
      <c r="F90" s="18"/>
      <c r="G90" s="19"/>
      <c r="H90" s="17"/>
    </row>
    <row r="91" spans="1:8" ht="14.25" hidden="1" customHeight="1" outlineLevel="1">
      <c r="A91" s="19"/>
      <c r="B91" s="17"/>
      <c r="C91" s="18"/>
      <c r="D91" s="18"/>
      <c r="E91" s="18"/>
      <c r="F91" s="18"/>
      <c r="G91" s="19"/>
      <c r="H91" s="17"/>
    </row>
    <row r="92" spans="1:8" ht="14.25" hidden="1" customHeight="1" outlineLevel="1">
      <c r="A92" s="19"/>
      <c r="B92" s="17"/>
      <c r="C92" s="18"/>
      <c r="D92" s="18"/>
      <c r="E92" s="18"/>
      <c r="F92" s="18"/>
      <c r="G92" s="19"/>
      <c r="H92" s="17"/>
    </row>
    <row r="93" spans="1:8" ht="14.25" hidden="1" customHeight="1" outlineLevel="1">
      <c r="A93" s="19"/>
      <c r="B93" s="17"/>
      <c r="C93" s="18"/>
      <c r="D93" s="18"/>
      <c r="E93" s="18"/>
      <c r="F93" s="18"/>
      <c r="G93" s="19"/>
      <c r="H93" s="17"/>
    </row>
    <row r="94" spans="1:8" ht="14.25" hidden="1" customHeight="1" outlineLevel="1">
      <c r="A94" s="19"/>
      <c r="B94" s="17"/>
      <c r="C94" s="18"/>
      <c r="D94" s="18"/>
      <c r="E94" s="18"/>
      <c r="F94" s="18"/>
      <c r="G94" s="19"/>
      <c r="H94" s="17"/>
    </row>
    <row r="95" spans="1:8" ht="14.25" hidden="1" customHeight="1" outlineLevel="1">
      <c r="A95" s="19"/>
      <c r="B95" s="17"/>
      <c r="C95" s="18"/>
      <c r="D95" s="18"/>
      <c r="E95" s="18"/>
      <c r="F95" s="18"/>
      <c r="G95" s="19"/>
      <c r="H95" s="17"/>
    </row>
    <row r="96" spans="1:8" ht="14.25" hidden="1" customHeight="1" outlineLevel="1">
      <c r="A96" s="19"/>
      <c r="B96" s="17"/>
      <c r="C96" s="18"/>
      <c r="D96" s="18"/>
      <c r="E96" s="18"/>
      <c r="F96" s="18"/>
      <c r="G96" s="19"/>
      <c r="H96" s="17"/>
    </row>
    <row r="97" spans="1:8" ht="14.25" hidden="1" customHeight="1" outlineLevel="1">
      <c r="A97" s="19"/>
      <c r="B97" s="17"/>
      <c r="C97" s="18"/>
      <c r="D97" s="18"/>
      <c r="E97" s="18"/>
      <c r="F97" s="18"/>
      <c r="G97" s="19"/>
      <c r="H97" s="17"/>
    </row>
    <row r="98" spans="1:8" ht="14.25" hidden="1" customHeight="1" outlineLevel="1">
      <c r="A98" s="19"/>
      <c r="B98" s="17"/>
      <c r="C98" s="18"/>
      <c r="D98" s="18"/>
      <c r="E98" s="18"/>
      <c r="F98" s="18"/>
      <c r="G98" s="19"/>
      <c r="H98" s="17"/>
    </row>
    <row r="99" spans="1:8" ht="14.25" hidden="1" customHeight="1" outlineLevel="1">
      <c r="A99" s="19"/>
      <c r="B99" s="17"/>
      <c r="C99" s="18"/>
      <c r="D99" s="18"/>
      <c r="E99" s="18"/>
      <c r="F99" s="18"/>
      <c r="G99" s="19"/>
      <c r="H99" s="17"/>
    </row>
    <row r="100" spans="1:8" ht="14.25" hidden="1" customHeight="1" outlineLevel="1">
      <c r="A100" s="19"/>
      <c r="B100" s="17"/>
      <c r="C100" s="18"/>
      <c r="D100" s="18"/>
      <c r="E100" s="18"/>
      <c r="F100" s="18"/>
      <c r="G100" s="19"/>
      <c r="H100" s="17"/>
    </row>
    <row r="101" spans="1:8" ht="14.25" hidden="1" customHeight="1" outlineLevel="1">
      <c r="A101" s="19"/>
      <c r="B101" s="17"/>
      <c r="C101" s="18"/>
      <c r="D101" s="18"/>
      <c r="E101" s="18"/>
      <c r="F101" s="18"/>
      <c r="G101" s="19"/>
      <c r="H101" s="17"/>
    </row>
    <row r="102" spans="1:8" collapsed="1"/>
  </sheetData>
  <autoFilter ref="A2:H101" xr:uid="{00000000-0009-0000-0000-000005000000}"/>
  <mergeCells count="1">
    <mergeCell ref="A1:H1"/>
  </mergeCells>
  <conditionalFormatting sqref="H3:H101">
    <cfRule type="cellIs" dxfId="24" priority="2" operator="equal">
      <formula>"Resolved"</formula>
    </cfRule>
    <cfRule type="cellIs" dxfId="23" priority="3" operator="equal">
      <formula>"In Progress"</formula>
    </cfRule>
    <cfRule type="cellIs" dxfId="22" priority="4" operator="equal">
      <formula>"Open"</formula>
    </cfRule>
    <cfRule type="cellIs" dxfId="21" priority="5" operator="equal">
      <formula>"Escalated"</formula>
    </cfRule>
  </conditionalFormatting>
  <dataValidations count="2">
    <dataValidation type="list" allowBlank="1" showErrorMessage="1" sqref="H3:H101" xr:uid="{00000000-0002-0000-0500-000000000000}">
      <formula1>"Open,In Progress,Resolved,Escalated"</formula1>
      <formula2>0</formula2>
    </dataValidation>
    <dataValidation type="list" allowBlank="1" showErrorMessage="1" sqref="B3:B101" xr:uid="{00000000-0002-0000-0500-000001000000}">
      <formula1>"Unit 1 / Phase 1,Unit 3 / Phase 2,Phase 3,Final"</formula1>
      <formula2>0</formula2>
    </dataValidation>
  </dataValidations>
  <pageMargins left="0.4" right="0.4" top="0.5" bottom="0.6" header="0.511811023622047" footer="0.51180555555555596"/>
  <pageSetup paperSize="9" fitToHeight="0" orientation="landscape" horizontalDpi="300" verticalDpi="300"/>
  <headerFooter>
    <oddFooter>&amp;C&amp;A  |  Page &amp;P of &amp;N&amp;RITC327W Project Progress Workbook</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B2E59"/>
    <pageSetUpPr fitToPage="1"/>
  </sheetPr>
  <dimension ref="A1:F39"/>
  <sheetViews>
    <sheetView showGridLines="0" tabSelected="1" topLeftCell="A17" zoomScaleNormal="100" workbookViewId="0">
      <selection activeCell="J18" sqref="J18"/>
    </sheetView>
  </sheetViews>
  <sheetFormatPr defaultColWidth="9" defaultRowHeight="15"/>
  <cols>
    <col min="1" max="1" width="36" style="1" customWidth="1"/>
    <col min="2" max="2" width="62" style="1" customWidth="1"/>
    <col min="3" max="3" width="3" style="1" customWidth="1"/>
    <col min="4" max="4" width="54" style="1" customWidth="1"/>
    <col min="5" max="5" width="12" style="1" customWidth="1"/>
    <col min="6" max="6" width="3" style="1" customWidth="1"/>
  </cols>
  <sheetData>
    <row r="1" spans="1:6" ht="30" customHeight="1">
      <c r="A1" s="28" t="s">
        <v>384</v>
      </c>
      <c r="B1" s="29"/>
      <c r="C1" s="29"/>
      <c r="D1" s="29"/>
      <c r="E1" s="29"/>
      <c r="F1" s="29"/>
    </row>
    <row r="3" spans="1:6" ht="24" customHeight="1">
      <c r="A3" s="3" t="s">
        <v>385</v>
      </c>
      <c r="B3" s="3" t="s">
        <v>42</v>
      </c>
      <c r="D3" s="35" t="s">
        <v>386</v>
      </c>
      <c r="E3" s="29"/>
      <c r="F3" s="29"/>
    </row>
    <row r="4" spans="1:6" ht="21.75" customHeight="1">
      <c r="A4" s="4" t="s">
        <v>57</v>
      </c>
      <c r="B4" s="5" t="s">
        <v>32</v>
      </c>
      <c r="D4" s="25" t="s">
        <v>387</v>
      </c>
      <c r="E4" s="17" t="s">
        <v>96</v>
      </c>
    </row>
    <row r="5" spans="1:6" ht="21.75" customHeight="1">
      <c r="A5" s="4" t="s">
        <v>59</v>
      </c>
      <c r="B5" s="5" t="s">
        <v>60</v>
      </c>
      <c r="D5" s="25" t="s">
        <v>388</v>
      </c>
      <c r="E5" s="17" t="s">
        <v>96</v>
      </c>
    </row>
    <row r="6" spans="1:6" ht="21.75" customHeight="1">
      <c r="A6" s="4" t="s">
        <v>389</v>
      </c>
      <c r="B6" s="5" t="s">
        <v>47</v>
      </c>
      <c r="D6" s="25" t="s">
        <v>390</v>
      </c>
      <c r="E6" s="17" t="s">
        <v>96</v>
      </c>
    </row>
    <row r="7" spans="1:6" ht="36.75" customHeight="1">
      <c r="A7" s="4" t="s">
        <v>391</v>
      </c>
      <c r="B7" s="5" t="s">
        <v>392</v>
      </c>
      <c r="D7" s="25" t="s">
        <v>393</v>
      </c>
      <c r="E7" s="17" t="s">
        <v>96</v>
      </c>
    </row>
    <row r="8" spans="1:6" ht="21.75" customHeight="1">
      <c r="A8" s="4" t="s">
        <v>394</v>
      </c>
      <c r="B8" s="5" t="s">
        <v>395</v>
      </c>
      <c r="D8" s="25" t="s">
        <v>396</v>
      </c>
      <c r="E8" s="17" t="s">
        <v>96</v>
      </c>
    </row>
    <row r="9" spans="1:6" ht="21.75" customHeight="1">
      <c r="A9" s="4" t="s">
        <v>397</v>
      </c>
      <c r="B9" s="5" t="s">
        <v>113</v>
      </c>
      <c r="D9" s="25" t="s">
        <v>398</v>
      </c>
      <c r="E9" s="17" t="s">
        <v>96</v>
      </c>
    </row>
    <row r="10" spans="1:6" ht="36.75" customHeight="1">
      <c r="A10" s="4" t="s">
        <v>399</v>
      </c>
      <c r="B10" s="5" t="s">
        <v>400</v>
      </c>
      <c r="D10" s="25" t="s">
        <v>401</v>
      </c>
      <c r="E10" s="17" t="s">
        <v>96</v>
      </c>
    </row>
    <row r="11" spans="1:6" ht="21.75" customHeight="1">
      <c r="A11" s="4" t="s">
        <v>402</v>
      </c>
      <c r="B11" s="5" t="s">
        <v>403</v>
      </c>
      <c r="D11" s="25" t="s">
        <v>404</v>
      </c>
      <c r="E11" s="17" t="s">
        <v>96</v>
      </c>
    </row>
    <row r="12" spans="1:6" ht="36.75" customHeight="1">
      <c r="A12" s="4" t="s">
        <v>405</v>
      </c>
      <c r="B12" s="5" t="s">
        <v>406</v>
      </c>
      <c r="D12" s="25" t="s">
        <v>407</v>
      </c>
      <c r="E12" s="17" t="s">
        <v>96</v>
      </c>
    </row>
    <row r="13" spans="1:6" ht="39.75" customHeight="1">
      <c r="A13" s="4" t="s">
        <v>408</v>
      </c>
      <c r="B13" s="5" t="s">
        <v>409</v>
      </c>
    </row>
    <row r="14" spans="1:6" ht="13.5" customHeight="1"/>
    <row r="15" spans="1:6" ht="13.5" customHeight="1"/>
    <row r="16" spans="1:6" ht="24" customHeight="1">
      <c r="A16" s="3" t="s">
        <v>410</v>
      </c>
      <c r="B16" s="3" t="s">
        <v>42</v>
      </c>
      <c r="D16" s="35" t="s">
        <v>386</v>
      </c>
      <c r="E16" s="29"/>
      <c r="F16" s="29"/>
    </row>
    <row r="17" spans="1:6" ht="36.75" customHeight="1">
      <c r="A17" s="4" t="s">
        <v>57</v>
      </c>
      <c r="B17" s="5" t="s">
        <v>76</v>
      </c>
      <c r="D17" s="25" t="s">
        <v>411</v>
      </c>
      <c r="E17" s="17" t="s">
        <v>96</v>
      </c>
    </row>
    <row r="18" spans="1:6" ht="36.75" customHeight="1">
      <c r="A18" s="4" t="s">
        <v>59</v>
      </c>
      <c r="B18" s="5" t="s">
        <v>77</v>
      </c>
      <c r="D18" s="25" t="s">
        <v>412</v>
      </c>
      <c r="E18" s="17" t="s">
        <v>96</v>
      </c>
    </row>
    <row r="19" spans="1:6" ht="21.75" customHeight="1">
      <c r="A19" s="4" t="s">
        <v>389</v>
      </c>
      <c r="B19" s="5" t="s">
        <v>47</v>
      </c>
      <c r="D19" s="25" t="s">
        <v>413</v>
      </c>
      <c r="E19" s="17" t="s">
        <v>96</v>
      </c>
    </row>
    <row r="20" spans="1:6" ht="51.75" customHeight="1">
      <c r="A20" s="4" t="s">
        <v>391</v>
      </c>
      <c r="B20" s="5" t="s">
        <v>414</v>
      </c>
      <c r="D20" s="25" t="s">
        <v>415</v>
      </c>
      <c r="E20" s="17" t="s">
        <v>96</v>
      </c>
    </row>
    <row r="21" spans="1:6" ht="21.75" customHeight="1">
      <c r="A21" s="4" t="s">
        <v>394</v>
      </c>
      <c r="B21" s="5" t="s">
        <v>395</v>
      </c>
      <c r="D21" s="25" t="s">
        <v>416</v>
      </c>
      <c r="E21" s="17" t="s">
        <v>96</v>
      </c>
    </row>
    <row r="22" spans="1:6" ht="21.75" customHeight="1">
      <c r="A22" s="4" t="s">
        <v>397</v>
      </c>
      <c r="B22" s="5" t="s">
        <v>113</v>
      </c>
      <c r="D22" s="25" t="s">
        <v>417</v>
      </c>
      <c r="E22" s="17" t="s">
        <v>96</v>
      </c>
    </row>
    <row r="23" spans="1:6" ht="36.75" customHeight="1">
      <c r="A23" s="4" t="s">
        <v>418</v>
      </c>
      <c r="B23" s="5" t="s">
        <v>419</v>
      </c>
      <c r="D23" s="25" t="s">
        <v>420</v>
      </c>
      <c r="E23" s="17" t="s">
        <v>96</v>
      </c>
    </row>
    <row r="24" spans="1:6" ht="21.75" customHeight="1">
      <c r="A24" s="4" t="s">
        <v>402</v>
      </c>
      <c r="B24" s="5" t="s">
        <v>403</v>
      </c>
      <c r="D24" s="25" t="s">
        <v>421</v>
      </c>
      <c r="E24" s="17" t="s">
        <v>96</v>
      </c>
    </row>
    <row r="25" spans="1:6" ht="36.75" customHeight="1">
      <c r="A25" s="4" t="s">
        <v>405</v>
      </c>
      <c r="B25" s="5" t="s">
        <v>422</v>
      </c>
      <c r="D25" s="25" t="s">
        <v>401</v>
      </c>
      <c r="E25" s="17" t="s">
        <v>96</v>
      </c>
    </row>
    <row r="26" spans="1:6" ht="36.75" customHeight="1">
      <c r="A26" s="4" t="s">
        <v>408</v>
      </c>
      <c r="B26" s="5" t="s">
        <v>423</v>
      </c>
      <c r="D26" s="25" t="s">
        <v>404</v>
      </c>
      <c r="E26" s="17" t="s">
        <v>96</v>
      </c>
    </row>
    <row r="27" spans="1:6" ht="21.75" customHeight="1">
      <c r="D27" s="25" t="s">
        <v>424</v>
      </c>
      <c r="E27" s="17" t="s">
        <v>96</v>
      </c>
    </row>
    <row r="28" spans="1:6" ht="13.5" customHeight="1"/>
    <row r="29" spans="1:6" ht="24" customHeight="1">
      <c r="A29" s="3" t="s">
        <v>425</v>
      </c>
      <c r="B29" s="3" t="s">
        <v>42</v>
      </c>
      <c r="D29" s="35" t="s">
        <v>386</v>
      </c>
      <c r="E29" s="29"/>
      <c r="F29" s="29"/>
    </row>
    <row r="30" spans="1:6" ht="21.75" customHeight="1">
      <c r="A30" s="4" t="s">
        <v>57</v>
      </c>
      <c r="B30" s="5" t="s">
        <v>36</v>
      </c>
      <c r="D30" s="25" t="s">
        <v>426</v>
      </c>
      <c r="E30" s="17" t="s">
        <v>96</v>
      </c>
    </row>
    <row r="31" spans="1:6" ht="21.75" customHeight="1">
      <c r="A31" s="4" t="s">
        <v>59</v>
      </c>
      <c r="B31" s="5" t="s">
        <v>427</v>
      </c>
      <c r="D31" s="25" t="s">
        <v>428</v>
      </c>
      <c r="E31" s="17" t="s">
        <v>96</v>
      </c>
    </row>
    <row r="32" spans="1:6" ht="21.75" customHeight="1">
      <c r="A32" s="4" t="s">
        <v>389</v>
      </c>
      <c r="B32" s="5" t="s">
        <v>47</v>
      </c>
      <c r="D32" s="25" t="s">
        <v>429</v>
      </c>
      <c r="E32" s="17" t="s">
        <v>96</v>
      </c>
    </row>
    <row r="33" spans="1:5" ht="66.75" customHeight="1">
      <c r="A33" s="4" t="s">
        <v>391</v>
      </c>
      <c r="B33" s="5" t="s">
        <v>430</v>
      </c>
      <c r="D33" s="25" t="s">
        <v>431</v>
      </c>
      <c r="E33" s="17" t="s">
        <v>96</v>
      </c>
    </row>
    <row r="34" spans="1:5" ht="51.75" customHeight="1">
      <c r="A34" s="4" t="s">
        <v>394</v>
      </c>
      <c r="B34" s="5" t="s">
        <v>432</v>
      </c>
      <c r="D34" s="25" t="s">
        <v>433</v>
      </c>
      <c r="E34" s="17" t="s">
        <v>96</v>
      </c>
    </row>
    <row r="35" spans="1:5" ht="36.75" customHeight="1">
      <c r="A35" s="4" t="s">
        <v>397</v>
      </c>
      <c r="B35" s="5" t="s">
        <v>434</v>
      </c>
      <c r="D35" s="25" t="s">
        <v>435</v>
      </c>
      <c r="E35" s="17" t="s">
        <v>96</v>
      </c>
    </row>
    <row r="36" spans="1:5" ht="36.75" customHeight="1">
      <c r="A36" s="4" t="s">
        <v>418</v>
      </c>
      <c r="B36" s="5" t="s">
        <v>436</v>
      </c>
      <c r="D36" s="25" t="s">
        <v>437</v>
      </c>
      <c r="E36" s="17" t="s">
        <v>96</v>
      </c>
    </row>
    <row r="37" spans="1:5" ht="51.75" customHeight="1">
      <c r="A37" s="4" t="s">
        <v>402</v>
      </c>
      <c r="B37" s="5" t="s">
        <v>438</v>
      </c>
      <c r="D37" s="25" t="s">
        <v>439</v>
      </c>
      <c r="E37" s="17" t="s">
        <v>96</v>
      </c>
    </row>
    <row r="38" spans="1:5" ht="36.75" customHeight="1">
      <c r="A38" s="4" t="s">
        <v>405</v>
      </c>
      <c r="B38" s="5" t="s">
        <v>440</v>
      </c>
      <c r="D38" s="25" t="s">
        <v>401</v>
      </c>
      <c r="E38" s="17" t="s">
        <v>96</v>
      </c>
    </row>
    <row r="39" spans="1:5" ht="36.75" customHeight="1">
      <c r="A39" s="4" t="s">
        <v>408</v>
      </c>
      <c r="B39" s="5" t="s">
        <v>441</v>
      </c>
      <c r="D39" s="25" t="s">
        <v>424</v>
      </c>
      <c r="E39" s="17" t="s">
        <v>96</v>
      </c>
    </row>
  </sheetData>
  <mergeCells count="4">
    <mergeCell ref="D3:F3"/>
    <mergeCell ref="A1:F1"/>
    <mergeCell ref="D29:F29"/>
    <mergeCell ref="D16:F16"/>
  </mergeCells>
  <conditionalFormatting sqref="E4:E12">
    <cfRule type="cellIs" dxfId="20" priority="2" operator="equal">
      <formula>"Yes"</formula>
    </cfRule>
    <cfRule type="cellIs" dxfId="19" priority="3" operator="equal">
      <formula>"No"</formula>
    </cfRule>
  </conditionalFormatting>
  <conditionalFormatting sqref="E17:E27">
    <cfRule type="cellIs" dxfId="18" priority="4" operator="equal">
      <formula>"Yes"</formula>
    </cfRule>
    <cfRule type="cellIs" dxfId="17" priority="5" operator="equal">
      <formula>"No"</formula>
    </cfRule>
  </conditionalFormatting>
  <conditionalFormatting sqref="E30:E39">
    <cfRule type="cellIs" dxfId="16" priority="6" operator="equal">
      <formula>"Yes"</formula>
    </cfRule>
    <cfRule type="cellIs" dxfId="15" priority="7" operator="equal">
      <formula>"No"</formula>
    </cfRule>
  </conditionalFormatting>
  <conditionalFormatting sqref="B6">
    <cfRule type="cellIs" dxfId="14" priority="8" operator="equal">
      <formula>"Completed"</formula>
    </cfRule>
    <cfRule type="cellIs" dxfId="13" priority="9" operator="equal">
      <formula>"In Progress"</formula>
    </cfRule>
    <cfRule type="cellIs" dxfId="12" priority="10" operator="equal">
      <formula>"Not Started"</formula>
    </cfRule>
    <cfRule type="cellIs" dxfId="11" priority="11" operator="equal">
      <formula>"Delayed"</formula>
    </cfRule>
    <cfRule type="cellIs" dxfId="10" priority="12" operator="equal">
      <formula>"Blocked"</formula>
    </cfRule>
  </conditionalFormatting>
  <conditionalFormatting sqref="B19">
    <cfRule type="cellIs" dxfId="9" priority="13" operator="equal">
      <formula>"Completed"</formula>
    </cfRule>
    <cfRule type="cellIs" dxfId="8" priority="14" operator="equal">
      <formula>"In Progress"</formula>
    </cfRule>
    <cfRule type="cellIs" dxfId="7" priority="15" operator="equal">
      <formula>"Not Started"</formula>
    </cfRule>
    <cfRule type="cellIs" dxfId="6" priority="16" operator="equal">
      <formula>"Delayed"</formula>
    </cfRule>
    <cfRule type="cellIs" dxfId="5" priority="17" operator="equal">
      <formula>"Blocked"</formula>
    </cfRule>
  </conditionalFormatting>
  <conditionalFormatting sqref="B32">
    <cfRule type="cellIs" dxfId="4" priority="18" operator="equal">
      <formula>"Completed"</formula>
    </cfRule>
    <cfRule type="cellIs" dxfId="3" priority="19" operator="equal">
      <formula>"In Progress"</formula>
    </cfRule>
    <cfRule type="cellIs" dxfId="2" priority="20" operator="equal">
      <formula>"Not Started"</formula>
    </cfRule>
    <cfRule type="cellIs" dxfId="1" priority="21" operator="equal">
      <formula>"Delayed"</formula>
    </cfRule>
    <cfRule type="cellIs" dxfId="0" priority="22" operator="equal">
      <formula>"Blocked"</formula>
    </cfRule>
  </conditionalFormatting>
  <dataValidations count="3">
    <dataValidation type="list" allowBlank="1" showErrorMessage="1" sqref="E4:E12 E30:E39 E17:E27" xr:uid="{00000000-0002-0000-0600-000000000000}">
      <formula1>"Yes,No"</formula1>
      <formula2>0</formula2>
    </dataValidation>
    <dataValidation type="list" allowBlank="1" showErrorMessage="1" sqref="B4 B30 B17" xr:uid="{00000000-0002-0000-0600-000003000000}">
      <formula1>"Unit 1 / Phase 1,Unit 3 / Phase 2,Phase 3,Final"</formula1>
      <formula2>0</formula2>
    </dataValidation>
    <dataValidation type="list" allowBlank="1" showErrorMessage="1" sqref="B6 B32 B19" xr:uid="{00000000-0002-0000-0600-000006000000}">
      <formula1>"Not Started,In Progress,Completed,Delayed,Blocked"</formula1>
      <formula2>0</formula2>
    </dataValidation>
  </dataValidations>
  <pageMargins left="0.4" right="0.4" top="0.5" bottom="0.6" header="0.511811023622047" footer="0.51180555555555596"/>
  <pageSetup paperSize="9" fitToHeight="0" orientation="landscape" horizontalDpi="300" verticalDpi="300"/>
  <headerFooter>
    <oddFooter>&amp;C&amp;A  |  Page &amp;P of &amp;N&amp;RITC327W Project Progress Workbook</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B2E59"/>
    <pageSetUpPr fitToPage="1"/>
  </sheetPr>
  <dimension ref="A1:I216"/>
  <sheetViews>
    <sheetView showGridLines="0" zoomScaleNormal="100" workbookViewId="0">
      <pane ySplit="2" topLeftCell="A3" activePane="bottomLeft" state="frozen"/>
      <selection pane="bottomLeft" activeCell="O18" sqref="O18"/>
    </sheetView>
  </sheetViews>
  <sheetFormatPr defaultColWidth="9" defaultRowHeight="15" outlineLevelRow="1"/>
  <cols>
    <col min="1" max="1" width="14" style="1" customWidth="1"/>
    <col min="2" max="2" width="19" style="1" customWidth="1"/>
    <col min="3" max="3" width="20" style="1" customWidth="1"/>
    <col min="4" max="6" width="40" style="1" customWidth="1"/>
    <col min="7" max="7" width="44" style="1" customWidth="1"/>
    <col min="8" max="8" width="34" style="1" customWidth="1"/>
    <col min="9" max="9" width="40" style="1" customWidth="1"/>
  </cols>
  <sheetData>
    <row r="1" spans="1:9" ht="30" customHeight="1">
      <c r="A1" s="28" t="s">
        <v>442</v>
      </c>
      <c r="B1" s="29"/>
      <c r="C1" s="29"/>
      <c r="D1" s="29"/>
      <c r="E1" s="29"/>
      <c r="F1" s="29"/>
      <c r="G1" s="29"/>
      <c r="H1" s="29"/>
      <c r="I1" s="29"/>
    </row>
    <row r="2" spans="1:9" ht="31.5" customHeight="1">
      <c r="A2" s="15" t="s">
        <v>443</v>
      </c>
      <c r="B2" s="15" t="s">
        <v>117</v>
      </c>
      <c r="C2" s="15" t="s">
        <v>444</v>
      </c>
      <c r="D2" s="15" t="s">
        <v>3</v>
      </c>
      <c r="E2" s="15" t="s">
        <v>445</v>
      </c>
      <c r="F2" s="15" t="s">
        <v>446</v>
      </c>
      <c r="G2" s="15" t="s">
        <v>447</v>
      </c>
      <c r="H2" s="15" t="s">
        <v>448</v>
      </c>
      <c r="I2" s="15" t="s">
        <v>125</v>
      </c>
    </row>
    <row r="3" spans="1:9" ht="36.75" customHeight="1">
      <c r="A3" s="19">
        <v>46252</v>
      </c>
      <c r="B3" s="17" t="s">
        <v>32</v>
      </c>
      <c r="C3" s="18" t="s">
        <v>449</v>
      </c>
      <c r="D3" s="18" t="s">
        <v>450</v>
      </c>
      <c r="E3" s="18" t="s">
        <v>451</v>
      </c>
      <c r="F3" s="18" t="s">
        <v>452</v>
      </c>
      <c r="G3" s="18" t="s">
        <v>453</v>
      </c>
      <c r="H3" s="18" t="s">
        <v>454</v>
      </c>
      <c r="I3" s="18" t="s">
        <v>455</v>
      </c>
    </row>
    <row r="4" spans="1:9" ht="36.75" customHeight="1">
      <c r="A4" s="19">
        <v>46260</v>
      </c>
      <c r="B4" s="17" t="s">
        <v>32</v>
      </c>
      <c r="C4" s="18" t="s">
        <v>456</v>
      </c>
      <c r="D4" s="18" t="s">
        <v>457</v>
      </c>
      <c r="E4" s="18" t="s">
        <v>451</v>
      </c>
      <c r="F4" s="18" t="s">
        <v>458</v>
      </c>
      <c r="G4" s="18" t="s">
        <v>459</v>
      </c>
      <c r="H4" s="18" t="s">
        <v>460</v>
      </c>
      <c r="I4" s="18" t="s">
        <v>461</v>
      </c>
    </row>
    <row r="5" spans="1:9" ht="21" customHeight="1">
      <c r="A5" s="19"/>
      <c r="B5" s="17"/>
      <c r="C5" s="18"/>
      <c r="D5" s="18"/>
      <c r="E5" s="18"/>
      <c r="F5" s="18"/>
      <c r="G5" s="18"/>
      <c r="H5" s="18"/>
      <c r="I5" s="18"/>
    </row>
    <row r="6" spans="1:9" ht="21" customHeight="1">
      <c r="A6" s="19"/>
      <c r="B6" s="17"/>
      <c r="C6" s="18"/>
      <c r="D6" s="18"/>
      <c r="E6" s="18"/>
      <c r="F6" s="18"/>
      <c r="G6" s="18"/>
      <c r="H6" s="18"/>
      <c r="I6" s="18"/>
    </row>
    <row r="7" spans="1:9" ht="21" customHeight="1">
      <c r="A7" s="19"/>
      <c r="B7" s="17"/>
      <c r="C7" s="18"/>
      <c r="D7" s="18"/>
      <c r="E7" s="18"/>
      <c r="F7" s="18"/>
      <c r="G7" s="18"/>
      <c r="H7" s="18"/>
      <c r="I7" s="18"/>
    </row>
    <row r="8" spans="1:9" ht="14.25" hidden="1" customHeight="1" outlineLevel="1">
      <c r="A8" s="19"/>
      <c r="B8" s="17"/>
      <c r="C8" s="18"/>
      <c r="D8" s="18"/>
      <c r="E8" s="18"/>
      <c r="F8" s="18"/>
      <c r="G8" s="18"/>
      <c r="H8" s="18"/>
      <c r="I8" s="18"/>
    </row>
    <row r="9" spans="1:9" ht="14.25" hidden="1" customHeight="1" outlineLevel="1">
      <c r="A9" s="19"/>
      <c r="B9" s="17"/>
      <c r="C9" s="18"/>
      <c r="D9" s="18"/>
      <c r="E9" s="18"/>
      <c r="F9" s="18"/>
      <c r="G9" s="18"/>
      <c r="H9" s="18"/>
      <c r="I9" s="18"/>
    </row>
    <row r="10" spans="1:9" ht="14.25" hidden="1" customHeight="1" outlineLevel="1">
      <c r="A10" s="19"/>
      <c r="B10" s="17"/>
      <c r="C10" s="18"/>
      <c r="D10" s="18"/>
      <c r="E10" s="18"/>
      <c r="F10" s="18"/>
      <c r="G10" s="18"/>
      <c r="H10" s="18"/>
      <c r="I10" s="18"/>
    </row>
    <row r="11" spans="1:9" ht="14.25" hidden="1" customHeight="1" outlineLevel="1">
      <c r="A11" s="19"/>
      <c r="B11" s="17"/>
      <c r="C11" s="18"/>
      <c r="D11" s="18"/>
      <c r="E11" s="18"/>
      <c r="F11" s="18"/>
      <c r="G11" s="18"/>
      <c r="H11" s="18"/>
      <c r="I11" s="18"/>
    </row>
    <row r="12" spans="1:9" ht="14.25" hidden="1" customHeight="1" outlineLevel="1">
      <c r="A12" s="19"/>
      <c r="B12" s="17"/>
      <c r="C12" s="18"/>
      <c r="D12" s="18"/>
      <c r="E12" s="18"/>
      <c r="F12" s="18"/>
      <c r="G12" s="18"/>
      <c r="H12" s="18"/>
      <c r="I12" s="18"/>
    </row>
    <row r="13" spans="1:9" ht="14.25" hidden="1" customHeight="1" outlineLevel="1">
      <c r="A13" s="19"/>
      <c r="B13" s="17"/>
      <c r="C13" s="18"/>
      <c r="D13" s="18"/>
      <c r="E13" s="18"/>
      <c r="F13" s="18"/>
      <c r="G13" s="18"/>
      <c r="H13" s="18"/>
      <c r="I13" s="18"/>
    </row>
    <row r="14" spans="1:9" ht="14.25" hidden="1" customHeight="1" outlineLevel="1">
      <c r="A14" s="19"/>
      <c r="B14" s="17"/>
      <c r="C14" s="18"/>
      <c r="D14" s="18"/>
      <c r="E14" s="18"/>
      <c r="F14" s="18"/>
      <c r="G14" s="18"/>
      <c r="H14" s="18"/>
      <c r="I14" s="18"/>
    </row>
    <row r="15" spans="1:9" ht="14.25" hidden="1" customHeight="1" outlineLevel="1">
      <c r="A15" s="19"/>
      <c r="B15" s="17"/>
      <c r="C15" s="18"/>
      <c r="D15" s="18"/>
      <c r="E15" s="18"/>
      <c r="F15" s="18"/>
      <c r="G15" s="18"/>
      <c r="H15" s="18"/>
      <c r="I15" s="18"/>
    </row>
    <row r="16" spans="1:9" ht="14.25" hidden="1" customHeight="1" outlineLevel="1">
      <c r="A16" s="19"/>
      <c r="B16" s="17"/>
      <c r="C16" s="18"/>
      <c r="D16" s="18"/>
      <c r="E16" s="18"/>
      <c r="F16" s="18"/>
      <c r="G16" s="18"/>
      <c r="H16" s="18"/>
      <c r="I16" s="18"/>
    </row>
    <row r="17" spans="1:9" ht="14.25" hidden="1" customHeight="1" outlineLevel="1">
      <c r="A17" s="19"/>
      <c r="B17" s="17"/>
      <c r="C17" s="18"/>
      <c r="D17" s="18"/>
      <c r="E17" s="18"/>
      <c r="F17" s="18"/>
      <c r="G17" s="18"/>
      <c r="H17" s="18"/>
      <c r="I17" s="18"/>
    </row>
    <row r="18" spans="1:9" ht="14.25" hidden="1" customHeight="1" outlineLevel="1">
      <c r="A18" s="19"/>
      <c r="B18" s="17"/>
      <c r="C18" s="18"/>
      <c r="D18" s="18"/>
      <c r="E18" s="18"/>
      <c r="F18" s="18"/>
      <c r="G18" s="18"/>
      <c r="H18" s="18"/>
      <c r="I18" s="18"/>
    </row>
    <row r="19" spans="1:9" ht="14.25" hidden="1" customHeight="1" outlineLevel="1">
      <c r="A19" s="19"/>
      <c r="B19" s="17"/>
      <c r="C19" s="18"/>
      <c r="D19" s="18"/>
      <c r="E19" s="18"/>
      <c r="F19" s="18"/>
      <c r="G19" s="18"/>
      <c r="H19" s="18"/>
      <c r="I19" s="18"/>
    </row>
    <row r="20" spans="1:9" ht="14.25" hidden="1" customHeight="1" outlineLevel="1">
      <c r="A20" s="19"/>
      <c r="B20" s="17"/>
      <c r="C20" s="18"/>
      <c r="D20" s="18"/>
      <c r="E20" s="18"/>
      <c r="F20" s="18"/>
      <c r="G20" s="18"/>
      <c r="H20" s="18"/>
      <c r="I20" s="18"/>
    </row>
    <row r="21" spans="1:9" ht="14.25" hidden="1" customHeight="1" outlineLevel="1">
      <c r="A21" s="19"/>
      <c r="B21" s="17"/>
      <c r="C21" s="18"/>
      <c r="D21" s="18"/>
      <c r="E21" s="18"/>
      <c r="F21" s="18"/>
      <c r="G21" s="18"/>
      <c r="H21" s="18"/>
      <c r="I21" s="18"/>
    </row>
    <row r="22" spans="1:9" ht="14.25" hidden="1" customHeight="1" outlineLevel="1">
      <c r="A22" s="19"/>
      <c r="B22" s="17"/>
      <c r="C22" s="18"/>
      <c r="D22" s="18"/>
      <c r="E22" s="18"/>
      <c r="F22" s="18"/>
      <c r="G22" s="18"/>
      <c r="H22" s="18"/>
      <c r="I22" s="18"/>
    </row>
    <row r="23" spans="1:9" ht="14.25" hidden="1" customHeight="1" outlineLevel="1">
      <c r="A23" s="19"/>
      <c r="B23" s="17"/>
      <c r="C23" s="18"/>
      <c r="D23" s="18"/>
      <c r="E23" s="18"/>
      <c r="F23" s="18"/>
      <c r="G23" s="18"/>
      <c r="H23" s="18"/>
      <c r="I23" s="18"/>
    </row>
    <row r="24" spans="1:9" ht="14.25" hidden="1" customHeight="1" outlineLevel="1">
      <c r="A24" s="19"/>
      <c r="B24" s="17"/>
      <c r="C24" s="18"/>
      <c r="D24" s="18"/>
      <c r="E24" s="18"/>
      <c r="F24" s="18"/>
      <c r="G24" s="18"/>
      <c r="H24" s="18"/>
      <c r="I24" s="18"/>
    </row>
    <row r="25" spans="1:9" ht="14.25" hidden="1" customHeight="1" outlineLevel="1">
      <c r="A25" s="19"/>
      <c r="B25" s="17"/>
      <c r="C25" s="18"/>
      <c r="D25" s="18"/>
      <c r="E25" s="18"/>
      <c r="F25" s="18"/>
      <c r="G25" s="18"/>
      <c r="H25" s="18"/>
      <c r="I25" s="18"/>
    </row>
    <row r="26" spans="1:9" ht="14.25" hidden="1" customHeight="1" outlineLevel="1">
      <c r="A26" s="19"/>
      <c r="B26" s="17"/>
      <c r="C26" s="18"/>
      <c r="D26" s="18"/>
      <c r="E26" s="18"/>
      <c r="F26" s="18"/>
      <c r="G26" s="18"/>
      <c r="H26" s="18"/>
      <c r="I26" s="18"/>
    </row>
    <row r="27" spans="1:9" ht="14.25" hidden="1" customHeight="1" outlineLevel="1">
      <c r="A27" s="19"/>
      <c r="B27" s="17"/>
      <c r="C27" s="18"/>
      <c r="D27" s="18"/>
      <c r="E27" s="18"/>
      <c r="F27" s="18"/>
      <c r="G27" s="18"/>
      <c r="H27" s="18"/>
      <c r="I27" s="18"/>
    </row>
    <row r="28" spans="1:9" ht="14.25" hidden="1" customHeight="1" outlineLevel="1">
      <c r="A28" s="19"/>
      <c r="B28" s="17"/>
      <c r="C28" s="18"/>
      <c r="D28" s="18"/>
      <c r="E28" s="18"/>
      <c r="F28" s="18"/>
      <c r="G28" s="18"/>
      <c r="H28" s="18"/>
      <c r="I28" s="18"/>
    </row>
    <row r="29" spans="1:9" ht="14.25" hidden="1" customHeight="1" outlineLevel="1">
      <c r="A29" s="19"/>
      <c r="B29" s="17"/>
      <c r="C29" s="18"/>
      <c r="D29" s="18"/>
      <c r="E29" s="18"/>
      <c r="F29" s="18"/>
      <c r="G29" s="18"/>
      <c r="H29" s="18"/>
      <c r="I29" s="18"/>
    </row>
    <row r="30" spans="1:9" ht="14.25" hidden="1" customHeight="1" outlineLevel="1">
      <c r="A30" s="19"/>
      <c r="B30" s="17"/>
      <c r="C30" s="18"/>
      <c r="D30" s="18"/>
      <c r="E30" s="18"/>
      <c r="F30" s="18"/>
      <c r="G30" s="18"/>
      <c r="H30" s="18"/>
      <c r="I30" s="18"/>
    </row>
    <row r="31" spans="1:9" ht="14.25" hidden="1" customHeight="1" outlineLevel="1">
      <c r="A31" s="19"/>
      <c r="B31" s="17"/>
      <c r="C31" s="18"/>
      <c r="D31" s="18"/>
      <c r="E31" s="18"/>
      <c r="F31" s="18"/>
      <c r="G31" s="18"/>
      <c r="H31" s="18"/>
      <c r="I31" s="18"/>
    </row>
    <row r="32" spans="1:9" ht="14.25" hidden="1" customHeight="1" outlineLevel="1">
      <c r="A32" s="19"/>
      <c r="B32" s="17"/>
      <c r="C32" s="18"/>
      <c r="D32" s="18"/>
      <c r="E32" s="18"/>
      <c r="F32" s="18"/>
      <c r="G32" s="18"/>
      <c r="H32" s="18"/>
      <c r="I32" s="18"/>
    </row>
    <row r="33" spans="1:9" ht="14.25" hidden="1" customHeight="1" outlineLevel="1">
      <c r="A33" s="19"/>
      <c r="B33" s="17"/>
      <c r="C33" s="18"/>
      <c r="D33" s="18"/>
      <c r="E33" s="18"/>
      <c r="F33" s="18"/>
      <c r="G33" s="18"/>
      <c r="H33" s="18"/>
      <c r="I33" s="18"/>
    </row>
    <row r="34" spans="1:9" ht="14.25" hidden="1" customHeight="1" outlineLevel="1">
      <c r="A34" s="19"/>
      <c r="B34" s="17"/>
      <c r="C34" s="18"/>
      <c r="D34" s="18"/>
      <c r="E34" s="18"/>
      <c r="F34" s="18"/>
      <c r="G34" s="18"/>
      <c r="H34" s="18"/>
      <c r="I34" s="18"/>
    </row>
    <row r="35" spans="1:9" ht="14.25" hidden="1" customHeight="1" outlineLevel="1">
      <c r="A35" s="19"/>
      <c r="B35" s="17"/>
      <c r="C35" s="18"/>
      <c r="D35" s="18"/>
      <c r="E35" s="18"/>
      <c r="F35" s="18"/>
      <c r="G35" s="18"/>
      <c r="H35" s="18"/>
      <c r="I35" s="18"/>
    </row>
    <row r="36" spans="1:9" ht="14.25" hidden="1" customHeight="1" outlineLevel="1">
      <c r="A36" s="19"/>
      <c r="B36" s="17"/>
      <c r="C36" s="18"/>
      <c r="D36" s="18"/>
      <c r="E36" s="18"/>
      <c r="F36" s="18"/>
      <c r="G36" s="18"/>
      <c r="H36" s="18"/>
      <c r="I36" s="18"/>
    </row>
    <row r="37" spans="1:9" ht="14.25" hidden="1" customHeight="1" outlineLevel="1">
      <c r="A37" s="19"/>
      <c r="B37" s="17"/>
      <c r="C37" s="18"/>
      <c r="D37" s="18"/>
      <c r="E37" s="18"/>
      <c r="F37" s="18"/>
      <c r="G37" s="18"/>
      <c r="H37" s="18"/>
      <c r="I37" s="18"/>
    </row>
    <row r="38" spans="1:9" ht="14.25" hidden="1" customHeight="1" outlineLevel="1">
      <c r="A38" s="19"/>
      <c r="B38" s="17"/>
      <c r="C38" s="18"/>
      <c r="D38" s="18"/>
      <c r="E38" s="18"/>
      <c r="F38" s="18"/>
      <c r="G38" s="18"/>
      <c r="H38" s="18"/>
      <c r="I38" s="18"/>
    </row>
    <row r="39" spans="1:9" ht="14.25" hidden="1" customHeight="1" outlineLevel="1">
      <c r="A39" s="19"/>
      <c r="B39" s="17"/>
      <c r="C39" s="18"/>
      <c r="D39" s="18"/>
      <c r="E39" s="18"/>
      <c r="F39" s="18"/>
      <c r="G39" s="18"/>
      <c r="H39" s="18"/>
      <c r="I39" s="18"/>
    </row>
    <row r="40" spans="1:9" ht="14.25" hidden="1" customHeight="1" outlineLevel="1">
      <c r="A40" s="19"/>
      <c r="B40" s="17"/>
      <c r="C40" s="18"/>
      <c r="D40" s="18"/>
      <c r="E40" s="18"/>
      <c r="F40" s="18"/>
      <c r="G40" s="18"/>
      <c r="H40" s="18"/>
      <c r="I40" s="18"/>
    </row>
    <row r="41" spans="1:9" ht="14.25" hidden="1" customHeight="1" outlineLevel="1">
      <c r="A41" s="19"/>
      <c r="B41" s="17"/>
      <c r="C41" s="18"/>
      <c r="D41" s="18"/>
      <c r="E41" s="18"/>
      <c r="F41" s="18"/>
      <c r="G41" s="18"/>
      <c r="H41" s="18"/>
      <c r="I41" s="18"/>
    </row>
    <row r="42" spans="1:9" ht="14.25" hidden="1" customHeight="1" outlineLevel="1">
      <c r="A42" s="19"/>
      <c r="B42" s="17"/>
      <c r="C42" s="18"/>
      <c r="D42" s="18"/>
      <c r="E42" s="18"/>
      <c r="F42" s="18"/>
      <c r="G42" s="18"/>
      <c r="H42" s="18"/>
      <c r="I42" s="18"/>
    </row>
    <row r="43" spans="1:9" ht="14.25" hidden="1" customHeight="1" outlineLevel="1">
      <c r="A43" s="19"/>
      <c r="B43" s="17"/>
      <c r="C43" s="18"/>
      <c r="D43" s="18"/>
      <c r="E43" s="18"/>
      <c r="F43" s="18"/>
      <c r="G43" s="18"/>
      <c r="H43" s="18"/>
      <c r="I43" s="18"/>
    </row>
    <row r="44" spans="1:9" ht="14.25" hidden="1" customHeight="1" outlineLevel="1">
      <c r="A44" s="19"/>
      <c r="B44" s="17"/>
      <c r="C44" s="18"/>
      <c r="D44" s="18"/>
      <c r="E44" s="18"/>
      <c r="F44" s="18"/>
      <c r="G44" s="18"/>
      <c r="H44" s="18"/>
      <c r="I44" s="18"/>
    </row>
    <row r="45" spans="1:9" ht="14.25" hidden="1" customHeight="1" outlineLevel="1">
      <c r="A45" s="19"/>
      <c r="B45" s="17"/>
      <c r="C45" s="18"/>
      <c r="D45" s="18"/>
      <c r="E45" s="18"/>
      <c r="F45" s="18"/>
      <c r="G45" s="18"/>
      <c r="H45" s="18"/>
      <c r="I45" s="18"/>
    </row>
    <row r="46" spans="1:9" ht="14.25" hidden="1" customHeight="1" outlineLevel="1">
      <c r="A46" s="19"/>
      <c r="B46" s="17"/>
      <c r="C46" s="18"/>
      <c r="D46" s="18"/>
      <c r="E46" s="18"/>
      <c r="F46" s="18"/>
      <c r="G46" s="18"/>
      <c r="H46" s="18"/>
      <c r="I46" s="18"/>
    </row>
    <row r="47" spans="1:9" ht="14.25" hidden="1" customHeight="1" outlineLevel="1">
      <c r="A47" s="19"/>
      <c r="B47" s="17"/>
      <c r="C47" s="18"/>
      <c r="D47" s="18"/>
      <c r="E47" s="18"/>
      <c r="F47" s="18"/>
      <c r="G47" s="18"/>
      <c r="H47" s="18"/>
      <c r="I47" s="18"/>
    </row>
    <row r="48" spans="1:9" ht="14.25" hidden="1" customHeight="1" outlineLevel="1">
      <c r="A48" s="19"/>
      <c r="B48" s="17"/>
      <c r="C48" s="18"/>
      <c r="D48" s="18"/>
      <c r="E48" s="18"/>
      <c r="F48" s="18"/>
      <c r="G48" s="18"/>
      <c r="H48" s="18"/>
      <c r="I48" s="18"/>
    </row>
    <row r="49" spans="1:9" ht="14.25" hidden="1" customHeight="1" outlineLevel="1">
      <c r="A49" s="19"/>
      <c r="B49" s="17"/>
      <c r="C49" s="18"/>
      <c r="D49" s="18"/>
      <c r="E49" s="18"/>
      <c r="F49" s="18"/>
      <c r="G49" s="18"/>
      <c r="H49" s="18"/>
      <c r="I49" s="18"/>
    </row>
    <row r="50" spans="1:9" ht="14.25" hidden="1" customHeight="1" outlineLevel="1">
      <c r="A50" s="19"/>
      <c r="B50" s="17"/>
      <c r="C50" s="18"/>
      <c r="D50" s="18"/>
      <c r="E50" s="18"/>
      <c r="F50" s="18"/>
      <c r="G50" s="18"/>
      <c r="H50" s="18"/>
      <c r="I50" s="18"/>
    </row>
    <row r="51" spans="1:9" ht="14.25" hidden="1" customHeight="1" outlineLevel="1">
      <c r="A51" s="19"/>
      <c r="B51" s="17"/>
      <c r="C51" s="18"/>
      <c r="D51" s="18"/>
      <c r="E51" s="18"/>
      <c r="F51" s="18"/>
      <c r="G51" s="18"/>
      <c r="H51" s="18"/>
      <c r="I51" s="18"/>
    </row>
    <row r="52" spans="1:9" ht="14.25" hidden="1" customHeight="1" outlineLevel="1">
      <c r="A52" s="19"/>
      <c r="B52" s="17"/>
      <c r="C52" s="18"/>
      <c r="D52" s="18"/>
      <c r="E52" s="18"/>
      <c r="F52" s="18"/>
      <c r="G52" s="18"/>
      <c r="H52" s="18"/>
      <c r="I52" s="18"/>
    </row>
    <row r="53" spans="1:9" ht="14.25" hidden="1" customHeight="1" outlineLevel="1">
      <c r="A53" s="19"/>
      <c r="B53" s="17"/>
      <c r="C53" s="18"/>
      <c r="D53" s="18"/>
      <c r="E53" s="18"/>
      <c r="F53" s="18"/>
      <c r="G53" s="18"/>
      <c r="H53" s="18"/>
      <c r="I53" s="18"/>
    </row>
    <row r="54" spans="1:9" ht="14.25" hidden="1" customHeight="1" outlineLevel="1">
      <c r="A54" s="19"/>
      <c r="B54" s="17"/>
      <c r="C54" s="18"/>
      <c r="D54" s="18"/>
      <c r="E54" s="18"/>
      <c r="F54" s="18"/>
      <c r="G54" s="18"/>
      <c r="H54" s="18"/>
      <c r="I54" s="18"/>
    </row>
    <row r="55" spans="1:9" ht="14.25" hidden="1" customHeight="1" outlineLevel="1">
      <c r="A55" s="19"/>
      <c r="B55" s="17"/>
      <c r="C55" s="18"/>
      <c r="D55" s="18"/>
      <c r="E55" s="18"/>
      <c r="F55" s="18"/>
      <c r="G55" s="18"/>
      <c r="H55" s="18"/>
      <c r="I55" s="18"/>
    </row>
    <row r="56" spans="1:9" ht="14.25" hidden="1" customHeight="1" outlineLevel="1">
      <c r="A56" s="19"/>
      <c r="B56" s="17"/>
      <c r="C56" s="18"/>
      <c r="D56" s="18"/>
      <c r="E56" s="18"/>
      <c r="F56" s="18"/>
      <c r="G56" s="18"/>
      <c r="H56" s="18"/>
      <c r="I56" s="18"/>
    </row>
    <row r="57" spans="1:9" ht="14.25" hidden="1" customHeight="1" outlineLevel="1">
      <c r="A57" s="19"/>
      <c r="B57" s="17"/>
      <c r="C57" s="18"/>
      <c r="D57" s="18"/>
      <c r="E57" s="18"/>
      <c r="F57" s="18"/>
      <c r="G57" s="18"/>
      <c r="H57" s="18"/>
      <c r="I57" s="18"/>
    </row>
    <row r="58" spans="1:9" ht="14.25" hidden="1" customHeight="1" outlineLevel="1">
      <c r="A58" s="19"/>
      <c r="B58" s="17"/>
      <c r="C58" s="18"/>
      <c r="D58" s="18"/>
      <c r="E58" s="18"/>
      <c r="F58" s="18"/>
      <c r="G58" s="18"/>
      <c r="H58" s="18"/>
      <c r="I58" s="18"/>
    </row>
    <row r="59" spans="1:9" ht="14.25" hidden="1" customHeight="1" outlineLevel="1">
      <c r="A59" s="19"/>
      <c r="B59" s="17"/>
      <c r="C59" s="18"/>
      <c r="D59" s="18"/>
      <c r="E59" s="18"/>
      <c r="F59" s="18"/>
      <c r="G59" s="18"/>
      <c r="H59" s="18"/>
      <c r="I59" s="18"/>
    </row>
    <row r="60" spans="1:9" ht="14.25" hidden="1" customHeight="1" outlineLevel="1">
      <c r="A60" s="19"/>
      <c r="B60" s="17"/>
      <c r="C60" s="18"/>
      <c r="D60" s="18"/>
      <c r="E60" s="18"/>
      <c r="F60" s="18"/>
      <c r="G60" s="18"/>
      <c r="H60" s="18"/>
      <c r="I60" s="18"/>
    </row>
    <row r="61" spans="1:9" ht="14.25" hidden="1" customHeight="1" outlineLevel="1">
      <c r="A61" s="19"/>
      <c r="B61" s="17"/>
      <c r="C61" s="18"/>
      <c r="D61" s="18"/>
      <c r="E61" s="18"/>
      <c r="F61" s="18"/>
      <c r="G61" s="18"/>
      <c r="H61" s="18"/>
      <c r="I61" s="18"/>
    </row>
    <row r="62" spans="1:9" ht="14.25" hidden="1" customHeight="1" outlineLevel="1">
      <c r="A62" s="19"/>
      <c r="B62" s="17"/>
      <c r="C62" s="18"/>
      <c r="D62" s="18"/>
      <c r="E62" s="18"/>
      <c r="F62" s="18"/>
      <c r="G62" s="18"/>
      <c r="H62" s="18"/>
      <c r="I62" s="18"/>
    </row>
    <row r="63" spans="1:9" ht="14.25" hidden="1" customHeight="1" outlineLevel="1">
      <c r="A63" s="19"/>
      <c r="B63" s="17"/>
      <c r="C63" s="18"/>
      <c r="D63" s="18"/>
      <c r="E63" s="18"/>
      <c r="F63" s="18"/>
      <c r="G63" s="18"/>
      <c r="H63" s="18"/>
      <c r="I63" s="18"/>
    </row>
    <row r="64" spans="1:9" ht="14.25" hidden="1" customHeight="1" outlineLevel="1">
      <c r="A64" s="19"/>
      <c r="B64" s="17"/>
      <c r="C64" s="18"/>
      <c r="D64" s="18"/>
      <c r="E64" s="18"/>
      <c r="F64" s="18"/>
      <c r="G64" s="18"/>
      <c r="H64" s="18"/>
      <c r="I64" s="18"/>
    </row>
    <row r="65" spans="1:9" ht="14.25" hidden="1" customHeight="1" outlineLevel="1">
      <c r="A65" s="19"/>
      <c r="B65" s="17"/>
      <c r="C65" s="18"/>
      <c r="D65" s="18"/>
      <c r="E65" s="18"/>
      <c r="F65" s="18"/>
      <c r="G65" s="18"/>
      <c r="H65" s="18"/>
      <c r="I65" s="18"/>
    </row>
    <row r="66" spans="1:9" ht="14.25" hidden="1" customHeight="1" outlineLevel="1">
      <c r="A66" s="19"/>
      <c r="B66" s="17"/>
      <c r="C66" s="18"/>
      <c r="D66" s="18"/>
      <c r="E66" s="18"/>
      <c r="F66" s="18"/>
      <c r="G66" s="18"/>
      <c r="H66" s="18"/>
      <c r="I66" s="18"/>
    </row>
    <row r="67" spans="1:9" ht="14.25" hidden="1" customHeight="1" outlineLevel="1">
      <c r="A67" s="19"/>
      <c r="B67" s="17"/>
      <c r="C67" s="18"/>
      <c r="D67" s="18"/>
      <c r="E67" s="18"/>
      <c r="F67" s="18"/>
      <c r="G67" s="18"/>
      <c r="H67" s="18"/>
      <c r="I67" s="18"/>
    </row>
    <row r="68" spans="1:9" ht="14.25" hidden="1" customHeight="1" outlineLevel="1">
      <c r="A68" s="19"/>
      <c r="B68" s="17"/>
      <c r="C68" s="18"/>
      <c r="D68" s="18"/>
      <c r="E68" s="18"/>
      <c r="F68" s="18"/>
      <c r="G68" s="18"/>
      <c r="H68" s="18"/>
      <c r="I68" s="18"/>
    </row>
    <row r="69" spans="1:9" ht="14.25" hidden="1" customHeight="1" outlineLevel="1">
      <c r="A69" s="19"/>
      <c r="B69" s="17"/>
      <c r="C69" s="18"/>
      <c r="D69" s="18"/>
      <c r="E69" s="18"/>
      <c r="F69" s="18"/>
      <c r="G69" s="18"/>
      <c r="H69" s="18"/>
      <c r="I69" s="18"/>
    </row>
    <row r="70" spans="1:9" ht="14.25" hidden="1" customHeight="1" outlineLevel="1">
      <c r="A70" s="19"/>
      <c r="B70" s="17"/>
      <c r="C70" s="18"/>
      <c r="D70" s="18"/>
      <c r="E70" s="18"/>
      <c r="F70" s="18"/>
      <c r="G70" s="18"/>
      <c r="H70" s="18"/>
      <c r="I70" s="18"/>
    </row>
    <row r="71" spans="1:9" ht="14.25" hidden="1" customHeight="1" outlineLevel="1">
      <c r="A71" s="19"/>
      <c r="B71" s="17"/>
      <c r="C71" s="18"/>
      <c r="D71" s="18"/>
      <c r="E71" s="18"/>
      <c r="F71" s="18"/>
      <c r="G71" s="18"/>
      <c r="H71" s="18"/>
      <c r="I71" s="18"/>
    </row>
    <row r="72" spans="1:9" ht="14.25" hidden="1" customHeight="1" outlineLevel="1">
      <c r="A72" s="19"/>
      <c r="B72" s="17"/>
      <c r="C72" s="18"/>
      <c r="D72" s="18"/>
      <c r="E72" s="18"/>
      <c r="F72" s="18"/>
      <c r="G72" s="18"/>
      <c r="H72" s="18"/>
      <c r="I72" s="18"/>
    </row>
    <row r="73" spans="1:9" ht="14.25" hidden="1" customHeight="1" outlineLevel="1">
      <c r="A73" s="19"/>
      <c r="B73" s="17"/>
      <c r="C73" s="18"/>
      <c r="D73" s="18"/>
      <c r="E73" s="18"/>
      <c r="F73" s="18"/>
      <c r="G73" s="18"/>
      <c r="H73" s="18"/>
      <c r="I73" s="18"/>
    </row>
    <row r="74" spans="1:9" ht="14.25" hidden="1" customHeight="1" outlineLevel="1">
      <c r="A74" s="19"/>
      <c r="B74" s="17"/>
      <c r="C74" s="18"/>
      <c r="D74" s="18"/>
      <c r="E74" s="18"/>
      <c r="F74" s="18"/>
      <c r="G74" s="18"/>
      <c r="H74" s="18"/>
      <c r="I74" s="18"/>
    </row>
    <row r="75" spans="1:9" ht="14.25" hidden="1" customHeight="1" outlineLevel="1">
      <c r="A75" s="19"/>
      <c r="B75" s="17"/>
      <c r="C75" s="18"/>
      <c r="D75" s="18"/>
      <c r="E75" s="18"/>
      <c r="F75" s="18"/>
      <c r="G75" s="18"/>
      <c r="H75" s="18"/>
      <c r="I75" s="18"/>
    </row>
    <row r="76" spans="1:9" ht="14.25" hidden="1" customHeight="1" outlineLevel="1">
      <c r="A76" s="19"/>
      <c r="B76" s="17"/>
      <c r="C76" s="18"/>
      <c r="D76" s="18"/>
      <c r="E76" s="18"/>
      <c r="F76" s="18"/>
      <c r="G76" s="18"/>
      <c r="H76" s="18"/>
      <c r="I76" s="18"/>
    </row>
    <row r="77" spans="1:9" ht="14.25" hidden="1" customHeight="1" outlineLevel="1">
      <c r="A77" s="19"/>
      <c r="B77" s="17"/>
      <c r="C77" s="18"/>
      <c r="D77" s="18"/>
      <c r="E77" s="18"/>
      <c r="F77" s="18"/>
      <c r="G77" s="18"/>
      <c r="H77" s="18"/>
      <c r="I77" s="18"/>
    </row>
    <row r="78" spans="1:9" ht="14.25" hidden="1" customHeight="1" outlineLevel="1">
      <c r="A78" s="19"/>
      <c r="B78" s="17"/>
      <c r="C78" s="18"/>
      <c r="D78" s="18"/>
      <c r="E78" s="18"/>
      <c r="F78" s="18"/>
      <c r="G78" s="18"/>
      <c r="H78" s="18"/>
      <c r="I78" s="18"/>
    </row>
    <row r="79" spans="1:9" ht="14.25" hidden="1" customHeight="1" outlineLevel="1">
      <c r="A79" s="19"/>
      <c r="B79" s="17"/>
      <c r="C79" s="18"/>
      <c r="D79" s="18"/>
      <c r="E79" s="18"/>
      <c r="F79" s="18"/>
      <c r="G79" s="18"/>
      <c r="H79" s="18"/>
      <c r="I79" s="18"/>
    </row>
    <row r="80" spans="1:9" ht="14.25" hidden="1" customHeight="1" outlineLevel="1">
      <c r="A80" s="19"/>
      <c r="B80" s="17"/>
      <c r="C80" s="18"/>
      <c r="D80" s="18"/>
      <c r="E80" s="18"/>
      <c r="F80" s="18"/>
      <c r="G80" s="18"/>
      <c r="H80" s="18"/>
      <c r="I80" s="18"/>
    </row>
    <row r="81" spans="1:9" ht="14.25" hidden="1" customHeight="1" outlineLevel="1">
      <c r="A81" s="19"/>
      <c r="B81" s="17"/>
      <c r="C81" s="18"/>
      <c r="D81" s="18"/>
      <c r="E81" s="18"/>
      <c r="F81" s="18"/>
      <c r="G81" s="18"/>
      <c r="H81" s="18"/>
      <c r="I81" s="18"/>
    </row>
    <row r="82" spans="1:9" ht="14.25" hidden="1" customHeight="1" outlineLevel="1">
      <c r="A82" s="19"/>
      <c r="B82" s="17"/>
      <c r="C82" s="18"/>
      <c r="D82" s="18"/>
      <c r="E82" s="18"/>
      <c r="F82" s="18"/>
      <c r="G82" s="18"/>
      <c r="H82" s="18"/>
      <c r="I82" s="18"/>
    </row>
    <row r="83" spans="1:9" ht="14.25" hidden="1" customHeight="1" outlineLevel="1">
      <c r="A83" s="19"/>
      <c r="B83" s="17"/>
      <c r="C83" s="18"/>
      <c r="D83" s="18"/>
      <c r="E83" s="18"/>
      <c r="F83" s="18"/>
      <c r="G83" s="18"/>
      <c r="H83" s="18"/>
      <c r="I83" s="18"/>
    </row>
    <row r="84" spans="1:9" ht="14.25" hidden="1" customHeight="1" outlineLevel="1">
      <c r="A84" s="19"/>
      <c r="B84" s="17"/>
      <c r="C84" s="18"/>
      <c r="D84" s="18"/>
      <c r="E84" s="18"/>
      <c r="F84" s="18"/>
      <c r="G84" s="18"/>
      <c r="H84" s="18"/>
      <c r="I84" s="18"/>
    </row>
    <row r="85" spans="1:9" ht="14.25" hidden="1" customHeight="1" outlineLevel="1">
      <c r="A85" s="19"/>
      <c r="B85" s="17"/>
      <c r="C85" s="18"/>
      <c r="D85" s="18"/>
      <c r="E85" s="18"/>
      <c r="F85" s="18"/>
      <c r="G85" s="18"/>
      <c r="H85" s="18"/>
      <c r="I85" s="18"/>
    </row>
    <row r="86" spans="1:9" ht="14.25" hidden="1" customHeight="1" outlineLevel="1">
      <c r="A86" s="19"/>
      <c r="B86" s="17"/>
      <c r="C86" s="18"/>
      <c r="D86" s="18"/>
      <c r="E86" s="18"/>
      <c r="F86" s="18"/>
      <c r="G86" s="18"/>
      <c r="H86" s="18"/>
      <c r="I86" s="18"/>
    </row>
    <row r="87" spans="1:9" ht="14.25" hidden="1" customHeight="1" outlineLevel="1">
      <c r="A87" s="19"/>
      <c r="B87" s="17"/>
      <c r="C87" s="18"/>
      <c r="D87" s="18"/>
      <c r="E87" s="18"/>
      <c r="F87" s="18"/>
      <c r="G87" s="18"/>
      <c r="H87" s="18"/>
      <c r="I87" s="18"/>
    </row>
    <row r="88" spans="1:9" ht="14.25" hidden="1" customHeight="1" outlineLevel="1">
      <c r="A88" s="19"/>
      <c r="B88" s="17"/>
      <c r="C88" s="18"/>
      <c r="D88" s="18"/>
      <c r="E88" s="18"/>
      <c r="F88" s="18"/>
      <c r="G88" s="18"/>
      <c r="H88" s="18"/>
      <c r="I88" s="18"/>
    </row>
    <row r="89" spans="1:9" ht="14.25" hidden="1" customHeight="1" outlineLevel="1">
      <c r="A89" s="19"/>
      <c r="B89" s="17"/>
      <c r="C89" s="18"/>
      <c r="D89" s="18"/>
      <c r="E89" s="18"/>
      <c r="F89" s="18"/>
      <c r="G89" s="18"/>
      <c r="H89" s="18"/>
      <c r="I89" s="18"/>
    </row>
    <row r="90" spans="1:9" ht="14.25" hidden="1" customHeight="1" outlineLevel="1">
      <c r="A90" s="19"/>
      <c r="B90" s="17"/>
      <c r="C90" s="18"/>
      <c r="D90" s="18"/>
      <c r="E90" s="18"/>
      <c r="F90" s="18"/>
      <c r="G90" s="18"/>
      <c r="H90" s="18"/>
      <c r="I90" s="18"/>
    </row>
    <row r="91" spans="1:9" ht="14.25" hidden="1" customHeight="1" outlineLevel="1">
      <c r="A91" s="19"/>
      <c r="B91" s="17"/>
      <c r="C91" s="18"/>
      <c r="D91" s="18"/>
      <c r="E91" s="18"/>
      <c r="F91" s="18"/>
      <c r="G91" s="18"/>
      <c r="H91" s="18"/>
      <c r="I91" s="18"/>
    </row>
    <row r="92" spans="1:9" ht="14.25" hidden="1" customHeight="1" outlineLevel="1">
      <c r="A92" s="19"/>
      <c r="B92" s="17"/>
      <c r="C92" s="18"/>
      <c r="D92" s="18"/>
      <c r="E92" s="18"/>
      <c r="F92" s="18"/>
      <c r="G92" s="18"/>
      <c r="H92" s="18"/>
      <c r="I92" s="18"/>
    </row>
    <row r="93" spans="1:9" ht="14.25" hidden="1" customHeight="1" outlineLevel="1">
      <c r="A93" s="19"/>
      <c r="B93" s="17"/>
      <c r="C93" s="18"/>
      <c r="D93" s="18"/>
      <c r="E93" s="18"/>
      <c r="F93" s="18"/>
      <c r="G93" s="18"/>
      <c r="H93" s="18"/>
      <c r="I93" s="18"/>
    </row>
    <row r="94" spans="1:9" ht="14.25" hidden="1" customHeight="1" outlineLevel="1">
      <c r="A94" s="19"/>
      <c r="B94" s="17"/>
      <c r="C94" s="18"/>
      <c r="D94" s="18"/>
      <c r="E94" s="18"/>
      <c r="F94" s="18"/>
      <c r="G94" s="18"/>
      <c r="H94" s="18"/>
      <c r="I94" s="18"/>
    </row>
    <row r="95" spans="1:9" ht="14.25" hidden="1" customHeight="1" outlineLevel="1">
      <c r="A95" s="19"/>
      <c r="B95" s="17"/>
      <c r="C95" s="18"/>
      <c r="D95" s="18"/>
      <c r="E95" s="18"/>
      <c r="F95" s="18"/>
      <c r="G95" s="18"/>
      <c r="H95" s="18"/>
      <c r="I95" s="18"/>
    </row>
    <row r="96" spans="1:9" ht="14.25" hidden="1" customHeight="1" outlineLevel="1">
      <c r="A96" s="19"/>
      <c r="B96" s="17"/>
      <c r="C96" s="18"/>
      <c r="D96" s="18"/>
      <c r="E96" s="18"/>
      <c r="F96" s="18"/>
      <c r="G96" s="18"/>
      <c r="H96" s="18"/>
      <c r="I96" s="18"/>
    </row>
    <row r="97" spans="1:9" ht="14.25" hidden="1" customHeight="1" outlineLevel="1">
      <c r="A97" s="19"/>
      <c r="B97" s="17"/>
      <c r="C97" s="18"/>
      <c r="D97" s="18"/>
      <c r="E97" s="18"/>
      <c r="F97" s="18"/>
      <c r="G97" s="18"/>
      <c r="H97" s="18"/>
      <c r="I97" s="18"/>
    </row>
    <row r="98" spans="1:9" ht="14.25" hidden="1" customHeight="1" outlineLevel="1">
      <c r="A98" s="19"/>
      <c r="B98" s="17"/>
      <c r="C98" s="18"/>
      <c r="D98" s="18"/>
      <c r="E98" s="18"/>
      <c r="F98" s="18"/>
      <c r="G98" s="18"/>
      <c r="H98" s="18"/>
      <c r="I98" s="18"/>
    </row>
    <row r="99" spans="1:9" ht="14.25" hidden="1" customHeight="1" outlineLevel="1">
      <c r="A99" s="19"/>
      <c r="B99" s="17"/>
      <c r="C99" s="18"/>
      <c r="D99" s="18"/>
      <c r="E99" s="18"/>
      <c r="F99" s="18"/>
      <c r="G99" s="18"/>
      <c r="H99" s="18"/>
      <c r="I99" s="18"/>
    </row>
    <row r="100" spans="1:9" ht="14.25" hidden="1" customHeight="1" outlineLevel="1">
      <c r="A100" s="19"/>
      <c r="B100" s="17"/>
      <c r="C100" s="18"/>
      <c r="D100" s="18"/>
      <c r="E100" s="18"/>
      <c r="F100" s="18"/>
      <c r="G100" s="18"/>
      <c r="H100" s="18"/>
      <c r="I100" s="18"/>
    </row>
    <row r="101" spans="1:9" ht="14.25" hidden="1" customHeight="1" outlineLevel="1">
      <c r="A101" s="19"/>
      <c r="B101" s="17"/>
      <c r="C101" s="18"/>
      <c r="D101" s="18"/>
      <c r="E101" s="18"/>
      <c r="F101" s="18"/>
      <c r="G101" s="18"/>
      <c r="H101" s="18"/>
      <c r="I101" s="18"/>
    </row>
    <row r="102" spans="1:9" ht="51.75" customHeight="1">
      <c r="A102" s="19">
        <v>46285</v>
      </c>
      <c r="B102" s="17" t="s">
        <v>76</v>
      </c>
      <c r="C102" s="18" t="s">
        <v>462</v>
      </c>
      <c r="D102" s="18" t="s">
        <v>463</v>
      </c>
      <c r="E102" s="18" t="s">
        <v>148</v>
      </c>
      <c r="F102" s="18" t="s">
        <v>452</v>
      </c>
      <c r="G102" s="18" t="s">
        <v>464</v>
      </c>
      <c r="H102" s="18" t="s">
        <v>465</v>
      </c>
      <c r="I102" s="18" t="s">
        <v>466</v>
      </c>
    </row>
    <row r="103" spans="1:9" ht="21" customHeight="1">
      <c r="A103" s="19"/>
      <c r="B103" s="17"/>
      <c r="C103" s="18"/>
      <c r="D103" s="18"/>
      <c r="E103" s="18"/>
      <c r="F103" s="18"/>
      <c r="G103" s="18"/>
      <c r="H103" s="18"/>
      <c r="I103" s="18"/>
    </row>
    <row r="104" spans="1:9" ht="21" customHeight="1">
      <c r="A104" s="19"/>
      <c r="B104" s="17"/>
      <c r="C104" s="18"/>
      <c r="D104" s="18"/>
      <c r="E104" s="18"/>
      <c r="F104" s="18"/>
      <c r="G104" s="18"/>
      <c r="H104" s="18"/>
      <c r="I104" s="18"/>
    </row>
    <row r="105" spans="1:9" ht="21" customHeight="1">
      <c r="A105" s="19"/>
      <c r="B105" s="17"/>
      <c r="C105" s="18"/>
      <c r="D105" s="18"/>
      <c r="E105" s="18"/>
      <c r="F105" s="18"/>
      <c r="G105" s="18"/>
      <c r="H105" s="18"/>
      <c r="I105" s="18"/>
    </row>
    <row r="106" spans="1:9" ht="15" hidden="1" customHeight="1" outlineLevel="1">
      <c r="A106" s="19"/>
      <c r="B106" s="17"/>
      <c r="C106" s="18"/>
      <c r="D106" s="18"/>
      <c r="E106" s="18"/>
      <c r="F106" s="18"/>
      <c r="G106" s="18"/>
      <c r="H106" s="18"/>
      <c r="I106" s="18"/>
    </row>
    <row r="107" spans="1:9" ht="15" hidden="1" customHeight="1" outlineLevel="1">
      <c r="A107" s="19"/>
      <c r="B107" s="17"/>
      <c r="C107" s="18"/>
      <c r="D107" s="18"/>
      <c r="E107" s="18"/>
      <c r="F107" s="18"/>
      <c r="G107" s="18"/>
      <c r="H107" s="18"/>
      <c r="I107" s="18"/>
    </row>
    <row r="108" spans="1:9" ht="15" hidden="1" customHeight="1" outlineLevel="1">
      <c r="A108" s="19"/>
      <c r="B108" s="17"/>
      <c r="C108" s="18"/>
      <c r="D108" s="18"/>
      <c r="E108" s="18"/>
      <c r="F108" s="18"/>
      <c r="G108" s="18"/>
      <c r="H108" s="18"/>
      <c r="I108" s="18"/>
    </row>
    <row r="109" spans="1:9" ht="15" hidden="1" customHeight="1" outlineLevel="1">
      <c r="A109" s="19"/>
      <c r="B109" s="17"/>
      <c r="C109" s="18"/>
      <c r="D109" s="18"/>
      <c r="E109" s="18"/>
      <c r="F109" s="18"/>
      <c r="G109" s="18"/>
      <c r="H109" s="18"/>
      <c r="I109" s="18"/>
    </row>
    <row r="110" spans="1:9" ht="15" hidden="1" customHeight="1" outlineLevel="1">
      <c r="A110" s="19"/>
      <c r="B110" s="17"/>
      <c r="C110" s="18"/>
      <c r="D110" s="18"/>
      <c r="E110" s="18"/>
      <c r="F110" s="18"/>
      <c r="G110" s="18"/>
      <c r="H110" s="18"/>
      <c r="I110" s="18"/>
    </row>
    <row r="111" spans="1:9" ht="15" hidden="1" customHeight="1" outlineLevel="1">
      <c r="A111" s="19"/>
      <c r="B111" s="17"/>
      <c r="C111" s="18"/>
      <c r="D111" s="18"/>
      <c r="E111" s="18"/>
      <c r="F111" s="18"/>
      <c r="G111" s="18"/>
      <c r="H111" s="18"/>
      <c r="I111" s="18"/>
    </row>
    <row r="112" spans="1:9" ht="15" hidden="1" customHeight="1" outlineLevel="1">
      <c r="A112" s="19"/>
      <c r="B112" s="17"/>
      <c r="C112" s="18"/>
      <c r="D112" s="18"/>
      <c r="E112" s="18"/>
      <c r="F112" s="18"/>
      <c r="G112" s="18"/>
      <c r="H112" s="18"/>
      <c r="I112" s="18"/>
    </row>
    <row r="113" spans="1:9" ht="15" hidden="1" customHeight="1" outlineLevel="1">
      <c r="A113" s="19"/>
      <c r="B113" s="17"/>
      <c r="C113" s="18"/>
      <c r="D113" s="18"/>
      <c r="E113" s="18"/>
      <c r="F113" s="18"/>
      <c r="G113" s="18"/>
      <c r="H113" s="18"/>
      <c r="I113" s="18"/>
    </row>
    <row r="114" spans="1:9" ht="15" hidden="1" customHeight="1" outlineLevel="1">
      <c r="A114" s="19"/>
      <c r="B114" s="17"/>
      <c r="C114" s="18"/>
      <c r="D114" s="18"/>
      <c r="E114" s="18"/>
      <c r="F114" s="18"/>
      <c r="G114" s="18"/>
      <c r="H114" s="18"/>
      <c r="I114" s="18"/>
    </row>
    <row r="115" spans="1:9" ht="15" hidden="1" customHeight="1" outlineLevel="1">
      <c r="A115" s="19"/>
      <c r="B115" s="17"/>
      <c r="C115" s="18"/>
      <c r="D115" s="18"/>
      <c r="E115" s="18"/>
      <c r="F115" s="18"/>
      <c r="G115" s="18"/>
      <c r="H115" s="18"/>
      <c r="I115" s="18"/>
    </row>
    <row r="116" spans="1:9" ht="15" hidden="1" customHeight="1" outlineLevel="1">
      <c r="A116" s="19"/>
      <c r="B116" s="17"/>
      <c r="C116" s="18"/>
      <c r="D116" s="18"/>
      <c r="E116" s="18"/>
      <c r="F116" s="18"/>
      <c r="G116" s="18"/>
      <c r="H116" s="18"/>
      <c r="I116" s="18"/>
    </row>
    <row r="117" spans="1:9" ht="21" customHeight="1">
      <c r="A117" s="19"/>
      <c r="B117" s="17"/>
      <c r="C117" s="18"/>
      <c r="D117" s="18"/>
      <c r="E117" s="18"/>
      <c r="F117" s="18"/>
      <c r="G117" s="18"/>
      <c r="H117" s="18"/>
      <c r="I117" s="18"/>
    </row>
    <row r="118" spans="1:9" ht="21" customHeight="1">
      <c r="A118" s="19"/>
      <c r="B118" s="17"/>
      <c r="C118" s="18"/>
      <c r="D118" s="18"/>
      <c r="E118" s="18"/>
      <c r="F118" s="18"/>
      <c r="G118" s="18"/>
      <c r="H118" s="18"/>
      <c r="I118" s="18"/>
    </row>
    <row r="119" spans="1:9" ht="21" customHeight="1">
      <c r="A119" s="19"/>
      <c r="B119" s="17"/>
      <c r="C119" s="18"/>
      <c r="D119" s="18"/>
      <c r="E119" s="18"/>
      <c r="F119" s="18"/>
      <c r="G119" s="18"/>
      <c r="H119" s="18"/>
      <c r="I119" s="18"/>
    </row>
    <row r="120" spans="1:9" ht="21" customHeight="1">
      <c r="A120" s="19"/>
      <c r="B120" s="17"/>
      <c r="C120" s="18"/>
      <c r="D120" s="18"/>
      <c r="E120" s="18"/>
      <c r="F120" s="18"/>
      <c r="G120" s="18"/>
      <c r="H120" s="18"/>
      <c r="I120" s="18"/>
    </row>
    <row r="121" spans="1:9" ht="15" hidden="1" customHeight="1" outlineLevel="1">
      <c r="A121" s="19"/>
      <c r="B121" s="17"/>
      <c r="C121" s="18"/>
      <c r="D121" s="18"/>
      <c r="E121" s="18"/>
      <c r="F121" s="18"/>
      <c r="G121" s="18"/>
      <c r="H121" s="18"/>
      <c r="I121" s="18"/>
    </row>
    <row r="122" spans="1:9" ht="15" hidden="1" customHeight="1" outlineLevel="1">
      <c r="A122" s="19"/>
      <c r="B122" s="17"/>
      <c r="C122" s="18"/>
      <c r="D122" s="18"/>
      <c r="E122" s="18"/>
      <c r="F122" s="18"/>
      <c r="G122" s="18"/>
      <c r="H122" s="18"/>
      <c r="I122" s="18"/>
    </row>
    <row r="123" spans="1:9" ht="15" hidden="1" customHeight="1" outlineLevel="1">
      <c r="A123" s="19"/>
      <c r="B123" s="17"/>
      <c r="C123" s="18"/>
      <c r="D123" s="18"/>
      <c r="E123" s="18"/>
      <c r="F123" s="18"/>
      <c r="G123" s="18"/>
      <c r="H123" s="18"/>
      <c r="I123" s="18"/>
    </row>
    <row r="124" spans="1:9" ht="15" hidden="1" customHeight="1" outlineLevel="1">
      <c r="A124" s="19"/>
      <c r="B124" s="17"/>
      <c r="C124" s="18"/>
      <c r="D124" s="18"/>
      <c r="E124" s="18"/>
      <c r="F124" s="18"/>
      <c r="G124" s="18"/>
      <c r="H124" s="18"/>
      <c r="I124" s="18"/>
    </row>
    <row r="125" spans="1:9" ht="15" hidden="1" customHeight="1" outlineLevel="1">
      <c r="A125" s="19"/>
      <c r="B125" s="17"/>
      <c r="C125" s="18"/>
      <c r="D125" s="18"/>
      <c r="E125" s="18"/>
      <c r="F125" s="18"/>
      <c r="G125" s="18"/>
      <c r="H125" s="18"/>
      <c r="I125" s="18"/>
    </row>
    <row r="126" spans="1:9" ht="15" hidden="1" customHeight="1" outlineLevel="1">
      <c r="A126" s="19"/>
      <c r="B126" s="17"/>
      <c r="C126" s="18"/>
      <c r="D126" s="18"/>
      <c r="E126" s="18"/>
      <c r="F126" s="18"/>
      <c r="G126" s="18"/>
      <c r="H126" s="18"/>
      <c r="I126" s="18"/>
    </row>
    <row r="127" spans="1:9" ht="15" hidden="1" customHeight="1" outlineLevel="1">
      <c r="A127" s="19"/>
      <c r="B127" s="17"/>
      <c r="C127" s="18"/>
      <c r="D127" s="18"/>
      <c r="E127" s="18"/>
      <c r="F127" s="18"/>
      <c r="G127" s="18"/>
      <c r="H127" s="18"/>
      <c r="I127" s="18"/>
    </row>
    <row r="128" spans="1:9" ht="15" hidden="1" customHeight="1" outlineLevel="1">
      <c r="A128" s="19"/>
      <c r="B128" s="17"/>
      <c r="C128" s="18"/>
      <c r="D128" s="18"/>
      <c r="E128" s="18"/>
      <c r="F128" s="18"/>
      <c r="G128" s="18"/>
      <c r="H128" s="18"/>
      <c r="I128" s="18"/>
    </row>
    <row r="129" spans="1:9" ht="15" hidden="1" customHeight="1" outlineLevel="1">
      <c r="A129" s="19"/>
      <c r="B129" s="17"/>
      <c r="C129" s="18"/>
      <c r="D129" s="18"/>
      <c r="E129" s="18"/>
      <c r="F129" s="18"/>
      <c r="G129" s="18"/>
      <c r="H129" s="18"/>
      <c r="I129" s="18"/>
    </row>
    <row r="130" spans="1:9" ht="15" hidden="1" customHeight="1" outlineLevel="1">
      <c r="A130" s="19"/>
      <c r="B130" s="17"/>
      <c r="C130" s="18"/>
      <c r="D130" s="18"/>
      <c r="E130" s="18"/>
      <c r="F130" s="18"/>
      <c r="G130" s="18"/>
      <c r="H130" s="18"/>
      <c r="I130" s="18"/>
    </row>
    <row r="131" spans="1:9" ht="15" hidden="1" customHeight="1" outlineLevel="1">
      <c r="A131" s="19"/>
      <c r="B131" s="17"/>
      <c r="C131" s="18"/>
      <c r="D131" s="18"/>
      <c r="E131" s="18"/>
      <c r="F131" s="18"/>
      <c r="G131" s="18"/>
      <c r="H131" s="18"/>
      <c r="I131" s="18"/>
    </row>
    <row r="132" spans="1:9" ht="15" hidden="1" customHeight="1" outlineLevel="1">
      <c r="A132" s="19"/>
      <c r="B132" s="17"/>
      <c r="C132" s="18"/>
      <c r="D132" s="18"/>
      <c r="E132" s="18"/>
      <c r="F132" s="18"/>
      <c r="G132" s="18"/>
      <c r="H132" s="18"/>
      <c r="I132" s="18"/>
    </row>
    <row r="133" spans="1:9" ht="15" hidden="1" customHeight="1" outlineLevel="1">
      <c r="A133" s="19"/>
      <c r="B133" s="17"/>
      <c r="C133" s="18"/>
      <c r="D133" s="18"/>
      <c r="E133" s="18"/>
      <c r="F133" s="18"/>
      <c r="G133" s="18"/>
      <c r="H133" s="18"/>
      <c r="I133" s="18"/>
    </row>
    <row r="134" spans="1:9" ht="15" hidden="1" customHeight="1" outlineLevel="1">
      <c r="A134" s="19"/>
      <c r="B134" s="17"/>
      <c r="C134" s="18"/>
      <c r="D134" s="18"/>
      <c r="E134" s="18"/>
      <c r="F134" s="18"/>
      <c r="G134" s="18"/>
      <c r="H134" s="18"/>
      <c r="I134" s="18"/>
    </row>
    <row r="135" spans="1:9" ht="15" hidden="1" customHeight="1" outlineLevel="1">
      <c r="A135" s="19"/>
      <c r="B135" s="17"/>
      <c r="C135" s="18"/>
      <c r="D135" s="18"/>
      <c r="E135" s="18"/>
      <c r="F135" s="18"/>
      <c r="G135" s="18"/>
      <c r="H135" s="18"/>
      <c r="I135" s="18"/>
    </row>
    <row r="136" spans="1:9" ht="15" hidden="1" customHeight="1" outlineLevel="1">
      <c r="A136" s="19"/>
      <c r="B136" s="17"/>
      <c r="C136" s="18"/>
      <c r="D136" s="18"/>
      <c r="E136" s="18"/>
      <c r="F136" s="18"/>
      <c r="G136" s="18"/>
      <c r="H136" s="18"/>
      <c r="I136" s="18"/>
    </row>
    <row r="137" spans="1:9" ht="15" hidden="1" customHeight="1" outlineLevel="1">
      <c r="A137" s="19"/>
      <c r="B137" s="17"/>
      <c r="C137" s="18"/>
      <c r="D137" s="18"/>
      <c r="E137" s="18"/>
      <c r="F137" s="18"/>
      <c r="G137" s="18"/>
      <c r="H137" s="18"/>
      <c r="I137" s="18"/>
    </row>
    <row r="138" spans="1:9" ht="15" hidden="1" customHeight="1" outlineLevel="1">
      <c r="A138" s="19"/>
      <c r="B138" s="17"/>
      <c r="C138" s="18"/>
      <c r="D138" s="18"/>
      <c r="E138" s="18"/>
      <c r="F138" s="18"/>
      <c r="G138" s="18"/>
      <c r="H138" s="18"/>
      <c r="I138" s="18"/>
    </row>
    <row r="139" spans="1:9" ht="15" hidden="1" customHeight="1" outlineLevel="1">
      <c r="A139" s="19"/>
      <c r="B139" s="17"/>
      <c r="C139" s="18"/>
      <c r="D139" s="18"/>
      <c r="E139" s="18"/>
      <c r="F139" s="18"/>
      <c r="G139" s="18"/>
      <c r="H139" s="18"/>
      <c r="I139" s="18"/>
    </row>
    <row r="140" spans="1:9" ht="15" hidden="1" customHeight="1" outlineLevel="1">
      <c r="A140" s="19"/>
      <c r="B140" s="17"/>
      <c r="C140" s="18"/>
      <c r="D140" s="18"/>
      <c r="E140" s="18"/>
      <c r="F140" s="18"/>
      <c r="G140" s="18"/>
      <c r="H140" s="18"/>
      <c r="I140" s="18"/>
    </row>
    <row r="141" spans="1:9" ht="15" hidden="1" customHeight="1" outlineLevel="1">
      <c r="A141" s="19"/>
      <c r="B141" s="17"/>
      <c r="C141" s="18"/>
      <c r="D141" s="18"/>
      <c r="E141" s="18"/>
      <c r="F141" s="18"/>
      <c r="G141" s="18"/>
      <c r="H141" s="18"/>
      <c r="I141" s="18"/>
    </row>
    <row r="142" spans="1:9" ht="15" hidden="1" customHeight="1" outlineLevel="1">
      <c r="A142" s="19"/>
      <c r="B142" s="17"/>
      <c r="C142" s="18"/>
      <c r="D142" s="18"/>
      <c r="E142" s="18"/>
      <c r="F142" s="18"/>
      <c r="G142" s="18"/>
      <c r="H142" s="18"/>
      <c r="I142" s="18"/>
    </row>
    <row r="143" spans="1:9" ht="15" hidden="1" customHeight="1" outlineLevel="1">
      <c r="A143" s="19"/>
      <c r="B143" s="17"/>
      <c r="C143" s="18"/>
      <c r="D143" s="18"/>
      <c r="E143" s="18"/>
      <c r="F143" s="18"/>
      <c r="G143" s="18"/>
      <c r="H143" s="18"/>
      <c r="I143" s="18"/>
    </row>
    <row r="144" spans="1:9" ht="15" hidden="1" customHeight="1" outlineLevel="1">
      <c r="A144" s="19"/>
      <c r="B144" s="17"/>
      <c r="C144" s="18"/>
      <c r="D144" s="18"/>
      <c r="E144" s="18"/>
      <c r="F144" s="18"/>
      <c r="G144" s="18"/>
      <c r="H144" s="18"/>
      <c r="I144" s="18"/>
    </row>
    <row r="145" spans="1:9" ht="15" hidden="1" customHeight="1" outlineLevel="1">
      <c r="A145" s="19"/>
      <c r="B145" s="17"/>
      <c r="C145" s="18"/>
      <c r="D145" s="18"/>
      <c r="E145" s="18"/>
      <c r="F145" s="18"/>
      <c r="G145" s="18"/>
      <c r="H145" s="18"/>
      <c r="I145" s="18"/>
    </row>
    <row r="146" spans="1:9" ht="15" hidden="1" customHeight="1" outlineLevel="1">
      <c r="A146" s="19"/>
      <c r="B146" s="17"/>
      <c r="C146" s="18"/>
      <c r="D146" s="18"/>
      <c r="E146" s="18"/>
      <c r="F146" s="18"/>
      <c r="G146" s="18"/>
      <c r="H146" s="18"/>
      <c r="I146" s="18"/>
    </row>
    <row r="147" spans="1:9" ht="15" hidden="1" customHeight="1" outlineLevel="1">
      <c r="A147" s="19"/>
      <c r="B147" s="17"/>
      <c r="C147" s="18"/>
      <c r="D147" s="18"/>
      <c r="E147" s="18"/>
      <c r="F147" s="18"/>
      <c r="G147" s="18"/>
      <c r="H147" s="18"/>
      <c r="I147" s="18"/>
    </row>
    <row r="148" spans="1:9" ht="15" hidden="1" customHeight="1" outlineLevel="1">
      <c r="A148" s="19"/>
      <c r="B148" s="17"/>
      <c r="C148" s="18"/>
      <c r="D148" s="18"/>
      <c r="E148" s="18"/>
      <c r="F148" s="18"/>
      <c r="G148" s="18"/>
      <c r="H148" s="18"/>
      <c r="I148" s="18"/>
    </row>
    <row r="149" spans="1:9" ht="15" hidden="1" customHeight="1" outlineLevel="1">
      <c r="A149" s="19"/>
      <c r="B149" s="17"/>
      <c r="C149" s="18"/>
      <c r="D149" s="18"/>
      <c r="E149" s="18"/>
      <c r="F149" s="18"/>
      <c r="G149" s="18"/>
      <c r="H149" s="18"/>
      <c r="I149" s="18"/>
    </row>
    <row r="150" spans="1:9" ht="15" hidden="1" customHeight="1" outlineLevel="1">
      <c r="A150" s="19"/>
      <c r="B150" s="17"/>
      <c r="C150" s="18"/>
      <c r="D150" s="18"/>
      <c r="E150" s="18"/>
      <c r="F150" s="18"/>
      <c r="G150" s="18"/>
      <c r="H150" s="18"/>
      <c r="I150" s="18"/>
    </row>
    <row r="151" spans="1:9" ht="15" hidden="1" customHeight="1" outlineLevel="1">
      <c r="A151" s="19"/>
      <c r="B151" s="17"/>
      <c r="C151" s="18"/>
      <c r="D151" s="18"/>
      <c r="E151" s="18"/>
      <c r="F151" s="18"/>
      <c r="G151" s="18"/>
      <c r="H151" s="18"/>
      <c r="I151" s="18"/>
    </row>
    <row r="152" spans="1:9" ht="15" hidden="1" customHeight="1" outlineLevel="1">
      <c r="A152" s="19"/>
      <c r="B152" s="17"/>
      <c r="C152" s="18"/>
      <c r="D152" s="18"/>
      <c r="E152" s="18"/>
      <c r="F152" s="18"/>
      <c r="G152" s="18"/>
      <c r="H152" s="18"/>
      <c r="I152" s="18"/>
    </row>
    <row r="153" spans="1:9" ht="15" hidden="1" customHeight="1" outlineLevel="1">
      <c r="A153" s="19"/>
      <c r="B153" s="17"/>
      <c r="C153" s="18"/>
      <c r="D153" s="18"/>
      <c r="E153" s="18"/>
      <c r="F153" s="18"/>
      <c r="G153" s="18"/>
      <c r="H153" s="18"/>
      <c r="I153" s="18"/>
    </row>
    <row r="154" spans="1:9" ht="15" hidden="1" customHeight="1" outlineLevel="1">
      <c r="A154" s="19"/>
      <c r="B154" s="17"/>
      <c r="C154" s="18"/>
      <c r="D154" s="18"/>
      <c r="E154" s="18"/>
      <c r="F154" s="18"/>
      <c r="G154" s="18"/>
      <c r="H154" s="18"/>
      <c r="I154" s="18"/>
    </row>
    <row r="155" spans="1:9" ht="15" hidden="1" customHeight="1" outlineLevel="1">
      <c r="A155" s="19"/>
      <c r="B155" s="17"/>
      <c r="C155" s="18"/>
      <c r="D155" s="18"/>
      <c r="E155" s="18"/>
      <c r="F155" s="18"/>
      <c r="G155" s="18"/>
      <c r="H155" s="18"/>
      <c r="I155" s="18"/>
    </row>
    <row r="156" spans="1:9" ht="15" hidden="1" customHeight="1" outlineLevel="1">
      <c r="A156" s="19"/>
      <c r="B156" s="17"/>
      <c r="C156" s="18"/>
      <c r="D156" s="18"/>
      <c r="E156" s="18"/>
      <c r="F156" s="18"/>
      <c r="G156" s="18"/>
      <c r="H156" s="18"/>
      <c r="I156" s="18"/>
    </row>
    <row r="157" spans="1:9" ht="15" hidden="1" customHeight="1" outlineLevel="1">
      <c r="A157" s="19"/>
      <c r="B157" s="17"/>
      <c r="C157" s="18"/>
      <c r="D157" s="18"/>
      <c r="E157" s="18"/>
      <c r="F157" s="18"/>
      <c r="G157" s="18"/>
      <c r="H157" s="18"/>
      <c r="I157" s="18"/>
    </row>
    <row r="158" spans="1:9" ht="15" hidden="1" customHeight="1" outlineLevel="1">
      <c r="A158" s="19"/>
      <c r="B158" s="17"/>
      <c r="C158" s="18"/>
      <c r="D158" s="18"/>
      <c r="E158" s="18"/>
      <c r="F158" s="18"/>
      <c r="G158" s="18"/>
      <c r="H158" s="18"/>
      <c r="I158" s="18"/>
    </row>
    <row r="159" spans="1:9" ht="15" hidden="1" customHeight="1" outlineLevel="1">
      <c r="A159" s="19"/>
      <c r="B159" s="17"/>
      <c r="C159" s="18"/>
      <c r="D159" s="18"/>
      <c r="E159" s="18"/>
      <c r="F159" s="18"/>
      <c r="G159" s="18"/>
      <c r="H159" s="18"/>
      <c r="I159" s="18"/>
    </row>
    <row r="160" spans="1:9" ht="15" hidden="1" customHeight="1" outlineLevel="1">
      <c r="A160" s="19"/>
      <c r="B160" s="17"/>
      <c r="C160" s="18"/>
      <c r="D160" s="18"/>
      <c r="E160" s="18"/>
      <c r="F160" s="18"/>
      <c r="G160" s="18"/>
      <c r="H160" s="18"/>
      <c r="I160" s="18"/>
    </row>
    <row r="161" spans="1:9" ht="15" hidden="1" customHeight="1" outlineLevel="1">
      <c r="A161" s="19"/>
      <c r="B161" s="17"/>
      <c r="C161" s="18"/>
      <c r="D161" s="18"/>
      <c r="E161" s="18"/>
      <c r="F161" s="18"/>
      <c r="G161" s="18"/>
      <c r="H161" s="18"/>
      <c r="I161" s="18"/>
    </row>
    <row r="162" spans="1:9" ht="15" hidden="1" customHeight="1" outlineLevel="1">
      <c r="A162" s="19"/>
      <c r="B162" s="17"/>
      <c r="C162" s="18"/>
      <c r="D162" s="18"/>
      <c r="E162" s="18"/>
      <c r="F162" s="18"/>
      <c r="G162" s="18"/>
      <c r="H162" s="18"/>
      <c r="I162" s="18"/>
    </row>
    <row r="163" spans="1:9" ht="15" hidden="1" customHeight="1" outlineLevel="1">
      <c r="A163" s="19"/>
      <c r="B163" s="17"/>
      <c r="C163" s="18"/>
      <c r="D163" s="18"/>
      <c r="E163" s="18"/>
      <c r="F163" s="18"/>
      <c r="G163" s="18"/>
      <c r="H163" s="18"/>
      <c r="I163" s="18"/>
    </row>
    <row r="164" spans="1:9" ht="15" hidden="1" customHeight="1" outlineLevel="1">
      <c r="A164" s="19"/>
      <c r="B164" s="17"/>
      <c r="C164" s="18"/>
      <c r="D164" s="18"/>
      <c r="E164" s="18"/>
      <c r="F164" s="18"/>
      <c r="G164" s="18"/>
      <c r="H164" s="18"/>
      <c r="I164" s="18"/>
    </row>
    <row r="165" spans="1:9" ht="15" hidden="1" customHeight="1" outlineLevel="1">
      <c r="A165" s="19"/>
      <c r="B165" s="17"/>
      <c r="C165" s="18"/>
      <c r="D165" s="18"/>
      <c r="E165" s="18"/>
      <c r="F165" s="18"/>
      <c r="G165" s="18"/>
      <c r="H165" s="18"/>
      <c r="I165" s="18"/>
    </row>
    <row r="166" spans="1:9" ht="15" hidden="1" customHeight="1" outlineLevel="1">
      <c r="A166" s="19"/>
      <c r="B166" s="17"/>
      <c r="C166" s="18"/>
      <c r="D166" s="18"/>
      <c r="E166" s="18"/>
      <c r="F166" s="18"/>
      <c r="G166" s="18"/>
      <c r="H166" s="18"/>
      <c r="I166" s="18"/>
    </row>
    <row r="167" spans="1:9" ht="15" hidden="1" customHeight="1" outlineLevel="1">
      <c r="A167" s="19"/>
      <c r="B167" s="17"/>
      <c r="C167" s="18"/>
      <c r="D167" s="18"/>
      <c r="E167" s="18"/>
      <c r="F167" s="18"/>
      <c r="G167" s="18"/>
      <c r="H167" s="18"/>
      <c r="I167" s="18"/>
    </row>
    <row r="168" spans="1:9" ht="15" hidden="1" customHeight="1" outlineLevel="1">
      <c r="A168" s="19"/>
      <c r="B168" s="17"/>
      <c r="C168" s="18"/>
      <c r="D168" s="18"/>
      <c r="E168" s="18"/>
      <c r="F168" s="18"/>
      <c r="G168" s="18"/>
      <c r="H168" s="18"/>
      <c r="I168" s="18"/>
    </row>
    <row r="169" spans="1:9" ht="15" hidden="1" customHeight="1" outlineLevel="1">
      <c r="A169" s="19"/>
      <c r="B169" s="17"/>
      <c r="C169" s="18"/>
      <c r="D169" s="18"/>
      <c r="E169" s="18"/>
      <c r="F169" s="18"/>
      <c r="G169" s="18"/>
      <c r="H169" s="18"/>
      <c r="I169" s="18"/>
    </row>
    <row r="170" spans="1:9" ht="15" hidden="1" customHeight="1" outlineLevel="1">
      <c r="A170" s="19"/>
      <c r="B170" s="17"/>
      <c r="C170" s="18"/>
      <c r="D170" s="18"/>
      <c r="E170" s="18"/>
      <c r="F170" s="18"/>
      <c r="G170" s="18"/>
      <c r="H170" s="18"/>
      <c r="I170" s="18"/>
    </row>
    <row r="171" spans="1:9" ht="15" hidden="1" customHeight="1" outlineLevel="1">
      <c r="A171" s="19"/>
      <c r="B171" s="17"/>
      <c r="C171" s="18"/>
      <c r="D171" s="18"/>
      <c r="E171" s="18"/>
      <c r="F171" s="18"/>
      <c r="G171" s="18"/>
      <c r="H171" s="18"/>
      <c r="I171" s="18"/>
    </row>
    <row r="172" spans="1:9" ht="15" hidden="1" customHeight="1" outlineLevel="1">
      <c r="A172" s="19"/>
      <c r="B172" s="17"/>
      <c r="C172" s="18"/>
      <c r="D172" s="18"/>
      <c r="E172" s="18"/>
      <c r="F172" s="18"/>
      <c r="G172" s="18"/>
      <c r="H172" s="18"/>
      <c r="I172" s="18"/>
    </row>
    <row r="173" spans="1:9" ht="15" hidden="1" customHeight="1" outlineLevel="1">
      <c r="A173" s="19"/>
      <c r="B173" s="17"/>
      <c r="C173" s="18"/>
      <c r="D173" s="18"/>
      <c r="E173" s="18"/>
      <c r="F173" s="18"/>
      <c r="G173" s="18"/>
      <c r="H173" s="18"/>
      <c r="I173" s="18"/>
    </row>
    <row r="174" spans="1:9" ht="15" hidden="1" customHeight="1" outlineLevel="1">
      <c r="A174" s="19"/>
      <c r="B174" s="17"/>
      <c r="C174" s="18"/>
      <c r="D174" s="18"/>
      <c r="E174" s="18"/>
      <c r="F174" s="18"/>
      <c r="G174" s="18"/>
      <c r="H174" s="18"/>
      <c r="I174" s="18"/>
    </row>
    <row r="175" spans="1:9" ht="15" hidden="1" customHeight="1" outlineLevel="1">
      <c r="A175" s="19"/>
      <c r="B175" s="17"/>
      <c r="C175" s="18"/>
      <c r="D175" s="18"/>
      <c r="E175" s="18"/>
      <c r="F175" s="18"/>
      <c r="G175" s="18"/>
      <c r="H175" s="18"/>
      <c r="I175" s="18"/>
    </row>
    <row r="176" spans="1:9" ht="15" hidden="1" customHeight="1" outlineLevel="1">
      <c r="A176" s="19"/>
      <c r="B176" s="17"/>
      <c r="C176" s="18"/>
      <c r="D176" s="18"/>
      <c r="E176" s="18"/>
      <c r="F176" s="18"/>
      <c r="G176" s="18"/>
      <c r="H176" s="18"/>
      <c r="I176" s="18"/>
    </row>
    <row r="177" spans="1:9" ht="15" hidden="1" customHeight="1" outlineLevel="1">
      <c r="A177" s="19"/>
      <c r="B177" s="17"/>
      <c r="C177" s="18"/>
      <c r="D177" s="18"/>
      <c r="E177" s="18"/>
      <c r="F177" s="18"/>
      <c r="G177" s="18"/>
      <c r="H177" s="18"/>
      <c r="I177" s="18"/>
    </row>
    <row r="178" spans="1:9" ht="15" hidden="1" customHeight="1" outlineLevel="1">
      <c r="A178" s="19"/>
      <c r="B178" s="17"/>
      <c r="C178" s="18"/>
      <c r="D178" s="18"/>
      <c r="E178" s="18"/>
      <c r="F178" s="18"/>
      <c r="G178" s="18"/>
      <c r="H178" s="18"/>
      <c r="I178" s="18"/>
    </row>
    <row r="179" spans="1:9" ht="15" hidden="1" customHeight="1" outlineLevel="1">
      <c r="A179" s="19"/>
      <c r="B179" s="17"/>
      <c r="C179" s="18"/>
      <c r="D179" s="18"/>
      <c r="E179" s="18"/>
      <c r="F179" s="18"/>
      <c r="G179" s="18"/>
      <c r="H179" s="18"/>
      <c r="I179" s="18"/>
    </row>
    <row r="180" spans="1:9" ht="15" hidden="1" customHeight="1" outlineLevel="1">
      <c r="A180" s="19"/>
      <c r="B180" s="17"/>
      <c r="C180" s="18"/>
      <c r="D180" s="18"/>
      <c r="E180" s="18"/>
      <c r="F180" s="18"/>
      <c r="G180" s="18"/>
      <c r="H180" s="18"/>
      <c r="I180" s="18"/>
    </row>
    <row r="181" spans="1:9" ht="15" hidden="1" customHeight="1" outlineLevel="1">
      <c r="A181" s="19"/>
      <c r="B181" s="17"/>
      <c r="C181" s="18"/>
      <c r="D181" s="18"/>
      <c r="E181" s="18"/>
      <c r="F181" s="18"/>
      <c r="G181" s="18"/>
      <c r="H181" s="18"/>
      <c r="I181" s="18"/>
    </row>
    <row r="182" spans="1:9" ht="15" hidden="1" customHeight="1" outlineLevel="1">
      <c r="A182" s="19"/>
      <c r="B182" s="17"/>
      <c r="C182" s="18"/>
      <c r="D182" s="18"/>
      <c r="E182" s="18"/>
      <c r="F182" s="18"/>
      <c r="G182" s="18"/>
      <c r="H182" s="18"/>
      <c r="I182" s="18"/>
    </row>
    <row r="183" spans="1:9" ht="15" hidden="1" customHeight="1" outlineLevel="1">
      <c r="A183" s="19"/>
      <c r="B183" s="17"/>
      <c r="C183" s="18"/>
      <c r="D183" s="18"/>
      <c r="E183" s="18"/>
      <c r="F183" s="18"/>
      <c r="G183" s="18"/>
      <c r="H183" s="18"/>
      <c r="I183" s="18"/>
    </row>
    <row r="184" spans="1:9" ht="15" hidden="1" customHeight="1" outlineLevel="1">
      <c r="A184" s="19"/>
      <c r="B184" s="17"/>
      <c r="C184" s="18"/>
      <c r="D184" s="18"/>
      <c r="E184" s="18"/>
      <c r="F184" s="18"/>
      <c r="G184" s="18"/>
      <c r="H184" s="18"/>
      <c r="I184" s="18"/>
    </row>
    <row r="185" spans="1:9" ht="15" hidden="1" customHeight="1" outlineLevel="1">
      <c r="A185" s="19"/>
      <c r="B185" s="17"/>
      <c r="C185" s="18"/>
      <c r="D185" s="18"/>
      <c r="E185" s="18"/>
      <c r="F185" s="18"/>
      <c r="G185" s="18"/>
      <c r="H185" s="18"/>
      <c r="I185" s="18"/>
    </row>
    <row r="186" spans="1:9" ht="15" hidden="1" customHeight="1" outlineLevel="1">
      <c r="A186" s="19"/>
      <c r="B186" s="17"/>
      <c r="C186" s="18"/>
      <c r="D186" s="18"/>
      <c r="E186" s="18"/>
      <c r="F186" s="18"/>
      <c r="G186" s="18"/>
      <c r="H186" s="18"/>
      <c r="I186" s="18"/>
    </row>
    <row r="187" spans="1:9" ht="15" hidden="1" customHeight="1" outlineLevel="1">
      <c r="A187" s="19"/>
      <c r="B187" s="17"/>
      <c r="C187" s="18"/>
      <c r="D187" s="18"/>
      <c r="E187" s="18"/>
      <c r="F187" s="18"/>
      <c r="G187" s="18"/>
      <c r="H187" s="18"/>
      <c r="I187" s="18"/>
    </row>
    <row r="188" spans="1:9" ht="15" hidden="1" customHeight="1" outlineLevel="1">
      <c r="A188" s="19"/>
      <c r="B188" s="17"/>
      <c r="C188" s="18"/>
      <c r="D188" s="18"/>
      <c r="E188" s="18"/>
      <c r="F188" s="18"/>
      <c r="G188" s="18"/>
      <c r="H188" s="18"/>
      <c r="I188" s="18"/>
    </row>
    <row r="189" spans="1:9" ht="15" hidden="1" customHeight="1" outlineLevel="1">
      <c r="A189" s="19"/>
      <c r="B189" s="17"/>
      <c r="C189" s="18"/>
      <c r="D189" s="18"/>
      <c r="E189" s="18"/>
      <c r="F189" s="18"/>
      <c r="G189" s="18"/>
      <c r="H189" s="18"/>
      <c r="I189" s="18"/>
    </row>
    <row r="190" spans="1:9" ht="15" hidden="1" customHeight="1" outlineLevel="1">
      <c r="A190" s="19"/>
      <c r="B190" s="17"/>
      <c r="C190" s="18"/>
      <c r="D190" s="18"/>
      <c r="E190" s="18"/>
      <c r="F190" s="18"/>
      <c r="G190" s="18"/>
      <c r="H190" s="18"/>
      <c r="I190" s="18"/>
    </row>
    <row r="191" spans="1:9" ht="15" hidden="1" customHeight="1" outlineLevel="1">
      <c r="A191" s="19"/>
      <c r="B191" s="17"/>
      <c r="C191" s="18"/>
      <c r="D191" s="18"/>
      <c r="E191" s="18"/>
      <c r="F191" s="18"/>
      <c r="G191" s="18"/>
      <c r="H191" s="18"/>
      <c r="I191" s="18"/>
    </row>
    <row r="192" spans="1:9" ht="15" hidden="1" customHeight="1" outlineLevel="1">
      <c r="A192" s="19"/>
      <c r="B192" s="17"/>
      <c r="C192" s="18"/>
      <c r="D192" s="18"/>
      <c r="E192" s="18"/>
      <c r="F192" s="18"/>
      <c r="G192" s="18"/>
      <c r="H192" s="18"/>
      <c r="I192" s="18"/>
    </row>
    <row r="193" spans="1:9" ht="15" hidden="1" customHeight="1" outlineLevel="1">
      <c r="A193" s="19"/>
      <c r="B193" s="17"/>
      <c r="C193" s="18"/>
      <c r="D193" s="18"/>
      <c r="E193" s="18"/>
      <c r="F193" s="18"/>
      <c r="G193" s="18"/>
      <c r="H193" s="18"/>
      <c r="I193" s="18"/>
    </row>
    <row r="194" spans="1:9" ht="15" hidden="1" customHeight="1" outlineLevel="1">
      <c r="A194" s="19"/>
      <c r="B194" s="17"/>
      <c r="C194" s="18"/>
      <c r="D194" s="18"/>
      <c r="E194" s="18"/>
      <c r="F194" s="18"/>
      <c r="G194" s="18"/>
      <c r="H194" s="18"/>
      <c r="I194" s="18"/>
    </row>
    <row r="195" spans="1:9" ht="15" hidden="1" customHeight="1" outlineLevel="1">
      <c r="A195" s="19"/>
      <c r="B195" s="17"/>
      <c r="C195" s="18"/>
      <c r="D195" s="18"/>
      <c r="E195" s="18"/>
      <c r="F195" s="18"/>
      <c r="G195" s="18"/>
      <c r="H195" s="18"/>
      <c r="I195" s="18"/>
    </row>
    <row r="196" spans="1:9" ht="15" hidden="1" customHeight="1" outlineLevel="1">
      <c r="A196" s="19"/>
      <c r="B196" s="17"/>
      <c r="C196" s="18"/>
      <c r="D196" s="18"/>
      <c r="E196" s="18"/>
      <c r="F196" s="18"/>
      <c r="G196" s="18"/>
      <c r="H196" s="18"/>
      <c r="I196" s="18"/>
    </row>
    <row r="197" spans="1:9" ht="15" hidden="1" customHeight="1" outlineLevel="1">
      <c r="A197" s="19"/>
      <c r="B197" s="17"/>
      <c r="C197" s="18"/>
      <c r="D197" s="18"/>
      <c r="E197" s="18"/>
      <c r="F197" s="18"/>
      <c r="G197" s="18"/>
      <c r="H197" s="18"/>
      <c r="I197" s="18"/>
    </row>
    <row r="198" spans="1:9" ht="15" hidden="1" customHeight="1" outlineLevel="1">
      <c r="A198" s="19"/>
      <c r="B198" s="17"/>
      <c r="C198" s="18"/>
      <c r="D198" s="18"/>
      <c r="E198" s="18"/>
      <c r="F198" s="18"/>
      <c r="G198" s="18"/>
      <c r="H198" s="18"/>
      <c r="I198" s="18"/>
    </row>
    <row r="199" spans="1:9" ht="15" hidden="1" customHeight="1" outlineLevel="1">
      <c r="A199" s="19"/>
      <c r="B199" s="17"/>
      <c r="C199" s="18"/>
      <c r="D199" s="18"/>
      <c r="E199" s="18"/>
      <c r="F199" s="18"/>
      <c r="G199" s="18"/>
      <c r="H199" s="18"/>
      <c r="I199" s="18"/>
    </row>
    <row r="200" spans="1:9" ht="15" hidden="1" customHeight="1" outlineLevel="1">
      <c r="A200" s="19"/>
      <c r="B200" s="17"/>
      <c r="C200" s="18"/>
      <c r="D200" s="18"/>
      <c r="E200" s="18"/>
      <c r="F200" s="18"/>
      <c r="G200" s="18"/>
      <c r="H200" s="18"/>
      <c r="I200" s="18"/>
    </row>
    <row r="201" spans="1:9" ht="15" hidden="1" customHeight="1" outlineLevel="1">
      <c r="A201" s="19"/>
      <c r="B201" s="17"/>
      <c r="C201" s="18"/>
      <c r="D201" s="18"/>
      <c r="E201" s="18"/>
      <c r="F201" s="18"/>
      <c r="G201" s="18"/>
      <c r="H201" s="18"/>
      <c r="I201" s="18"/>
    </row>
    <row r="202" spans="1:9" ht="15" hidden="1" customHeight="1" outlineLevel="1">
      <c r="A202" s="19"/>
      <c r="B202" s="17"/>
      <c r="C202" s="18"/>
      <c r="D202" s="18"/>
      <c r="E202" s="18"/>
      <c r="F202" s="18"/>
      <c r="G202" s="18"/>
      <c r="H202" s="18"/>
      <c r="I202" s="18"/>
    </row>
    <row r="203" spans="1:9" ht="15" hidden="1" customHeight="1" outlineLevel="1">
      <c r="A203" s="19"/>
      <c r="B203" s="17"/>
      <c r="C203" s="18"/>
      <c r="D203" s="18"/>
      <c r="E203" s="18"/>
      <c r="F203" s="18"/>
      <c r="G203" s="18"/>
      <c r="H203" s="18"/>
      <c r="I203" s="18"/>
    </row>
    <row r="204" spans="1:9" ht="15" hidden="1" customHeight="1" outlineLevel="1">
      <c r="A204" s="19"/>
      <c r="B204" s="17"/>
      <c r="C204" s="18"/>
      <c r="D204" s="18"/>
      <c r="E204" s="18"/>
      <c r="F204" s="18"/>
      <c r="G204" s="18"/>
      <c r="H204" s="18"/>
      <c r="I204" s="18"/>
    </row>
    <row r="205" spans="1:9" ht="15" hidden="1" customHeight="1" outlineLevel="1">
      <c r="A205" s="19"/>
      <c r="B205" s="17"/>
      <c r="C205" s="18"/>
      <c r="D205" s="18"/>
      <c r="E205" s="18"/>
      <c r="F205" s="18"/>
      <c r="G205" s="18"/>
      <c r="H205" s="18"/>
      <c r="I205" s="18"/>
    </row>
    <row r="206" spans="1:9" ht="15" hidden="1" customHeight="1" outlineLevel="1">
      <c r="A206" s="19"/>
      <c r="B206" s="17"/>
      <c r="C206" s="18"/>
      <c r="D206" s="18"/>
      <c r="E206" s="18"/>
      <c r="F206" s="18"/>
      <c r="G206" s="18"/>
      <c r="H206" s="18"/>
      <c r="I206" s="18"/>
    </row>
    <row r="207" spans="1:9" ht="15" hidden="1" customHeight="1" outlineLevel="1">
      <c r="A207" s="19"/>
      <c r="B207" s="17"/>
      <c r="C207" s="18"/>
      <c r="D207" s="18"/>
      <c r="E207" s="18"/>
      <c r="F207" s="18"/>
      <c r="G207" s="18"/>
      <c r="H207" s="18"/>
      <c r="I207" s="18"/>
    </row>
    <row r="208" spans="1:9" ht="15" hidden="1" customHeight="1" outlineLevel="1">
      <c r="A208" s="19"/>
      <c r="B208" s="17"/>
      <c r="C208" s="18"/>
      <c r="D208" s="18"/>
      <c r="E208" s="18"/>
      <c r="F208" s="18"/>
      <c r="G208" s="18"/>
      <c r="H208" s="18"/>
      <c r="I208" s="18"/>
    </row>
    <row r="209" spans="1:9" ht="15" hidden="1" customHeight="1" outlineLevel="1">
      <c r="A209" s="19"/>
      <c r="B209" s="17"/>
      <c r="C209" s="18"/>
      <c r="D209" s="18"/>
      <c r="E209" s="18"/>
      <c r="F209" s="18"/>
      <c r="G209" s="18"/>
      <c r="H209" s="18"/>
      <c r="I209" s="18"/>
    </row>
    <row r="210" spans="1:9" ht="15" hidden="1" customHeight="1" outlineLevel="1">
      <c r="A210" s="19"/>
      <c r="B210" s="17"/>
      <c r="C210" s="18"/>
      <c r="D210" s="18"/>
      <c r="E210" s="18"/>
      <c r="F210" s="18"/>
      <c r="G210" s="18"/>
      <c r="H210" s="18"/>
      <c r="I210" s="18"/>
    </row>
    <row r="211" spans="1:9" ht="15" hidden="1" customHeight="1" outlineLevel="1">
      <c r="A211" s="19"/>
      <c r="B211" s="17"/>
      <c r="C211" s="18"/>
      <c r="D211" s="18"/>
      <c r="E211" s="18"/>
      <c r="F211" s="18"/>
      <c r="G211" s="18"/>
      <c r="H211" s="18"/>
      <c r="I211" s="18"/>
    </row>
    <row r="212" spans="1:9" ht="15" hidden="1" customHeight="1" outlineLevel="1">
      <c r="A212" s="19"/>
      <c r="B212" s="17"/>
      <c r="C212" s="18"/>
      <c r="D212" s="18"/>
      <c r="E212" s="18"/>
      <c r="F212" s="18"/>
      <c r="G212" s="18"/>
      <c r="H212" s="18"/>
      <c r="I212" s="18"/>
    </row>
    <row r="213" spans="1:9" ht="15" hidden="1" customHeight="1" outlineLevel="1">
      <c r="A213" s="19"/>
      <c r="B213" s="17"/>
      <c r="C213" s="18"/>
      <c r="D213" s="18"/>
      <c r="E213" s="18"/>
      <c r="F213" s="18"/>
      <c r="G213" s="18"/>
      <c r="H213" s="18"/>
      <c r="I213" s="18"/>
    </row>
    <row r="214" spans="1:9" ht="15" hidden="1" customHeight="1" outlineLevel="1">
      <c r="A214" s="19"/>
      <c r="B214" s="17"/>
      <c r="C214" s="18"/>
      <c r="D214" s="18"/>
      <c r="E214" s="18"/>
      <c r="F214" s="18"/>
      <c r="G214" s="18"/>
      <c r="H214" s="18"/>
      <c r="I214" s="18"/>
    </row>
    <row r="215" spans="1:9" ht="15" hidden="1" customHeight="1" outlineLevel="1">
      <c r="A215" s="19"/>
      <c r="B215" s="17"/>
      <c r="C215" s="18"/>
      <c r="D215" s="18"/>
      <c r="E215" s="18"/>
      <c r="F215" s="18"/>
      <c r="G215" s="18"/>
      <c r="H215" s="18"/>
      <c r="I215" s="18"/>
    </row>
    <row r="216" spans="1:9" ht="15" hidden="1" customHeight="1" outlineLevel="1">
      <c r="A216" s="19"/>
      <c r="B216" s="17"/>
      <c r="C216" s="18"/>
      <c r="D216" s="18"/>
      <c r="E216" s="18"/>
      <c r="F216" s="18"/>
      <c r="G216" s="18"/>
      <c r="H216" s="18"/>
      <c r="I216" s="18"/>
    </row>
  </sheetData>
  <autoFilter ref="A2:I216" xr:uid="{00000000-0009-0000-0000-000007000000}"/>
  <mergeCells count="1">
    <mergeCell ref="A1:I1"/>
  </mergeCells>
  <dataValidations count="2">
    <dataValidation type="list" allowBlank="1" showErrorMessage="1" sqref="B3:B216" xr:uid="{00000000-0002-0000-0700-000000000000}">
      <formula1>"Unit 1 / Phase 1,Unit 3 / Phase 2,Phase 3,Final"</formula1>
      <formula2>0</formula2>
    </dataValidation>
    <dataValidation type="list" allowBlank="1" showErrorMessage="1" sqref="C3:C216" xr:uid="{00000000-0002-0000-0700-000001000000}">
      <formula1>"Meeting,Telephone Call,Online Meeting,Email,Site Visit,Other,Design Review Meeting"</formula1>
      <formula2>0</formula2>
    </dataValidation>
  </dataValidations>
  <pageMargins left="0.4" right="0.4" top="0.5" bottom="0.6" header="0.511811023622047" footer="0.51180555555555596"/>
  <pageSetup paperSize="9" fitToHeight="0" orientation="landscape" horizontalDpi="300" verticalDpi="300"/>
  <headerFooter>
    <oddFooter>&amp;C&amp;A  |  Page &amp;P of &amp;N&amp;RITC327W Project Progress Workbook</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B2E59"/>
    <pageSetUpPr fitToPage="1"/>
  </sheetPr>
  <dimension ref="A1:F45"/>
  <sheetViews>
    <sheetView showGridLines="0" zoomScaleNormal="100" workbookViewId="0">
      <selection activeCell="D5" sqref="D5"/>
    </sheetView>
  </sheetViews>
  <sheetFormatPr defaultColWidth="9" defaultRowHeight="15"/>
  <cols>
    <col min="1" max="1" width="40" style="1" customWidth="1"/>
    <col min="2" max="2" width="72" style="1" customWidth="1"/>
    <col min="3" max="3" width="3" style="1" customWidth="1"/>
    <col min="4" max="4" width="18" style="1" customWidth="1"/>
    <col min="5" max="5" width="54" style="1" customWidth="1"/>
    <col min="6" max="6" width="3" style="1" customWidth="1"/>
  </cols>
  <sheetData>
    <row r="1" spans="1:6" ht="30" customHeight="1">
      <c r="A1" s="28" t="s">
        <v>29</v>
      </c>
      <c r="B1" s="29"/>
      <c r="C1" s="29"/>
      <c r="D1" s="29"/>
      <c r="E1" s="29"/>
      <c r="F1" s="29"/>
    </row>
    <row r="2" spans="1:6" ht="7.5" customHeight="1"/>
    <row r="3" spans="1:6" ht="24" customHeight="1">
      <c r="A3" s="3" t="s">
        <v>467</v>
      </c>
      <c r="B3" s="3" t="s">
        <v>42</v>
      </c>
      <c r="D3" s="35" t="s">
        <v>468</v>
      </c>
      <c r="E3" s="29"/>
      <c r="F3" s="29"/>
    </row>
    <row r="4" spans="1:6" ht="21.75" customHeight="1">
      <c r="A4" s="26" t="s">
        <v>57</v>
      </c>
      <c r="B4" s="5" t="s">
        <v>32</v>
      </c>
      <c r="D4" s="26" t="s">
        <v>469</v>
      </c>
      <c r="E4" s="5" t="s">
        <v>470</v>
      </c>
    </row>
    <row r="5" spans="1:6" ht="36.75" customHeight="1">
      <c r="A5" s="26" t="s">
        <v>48</v>
      </c>
      <c r="B5" s="5" t="s">
        <v>471</v>
      </c>
      <c r="D5" s="26" t="s">
        <v>472</v>
      </c>
      <c r="E5" s="5" t="s">
        <v>473</v>
      </c>
    </row>
    <row r="6" spans="1:6" ht="51.75" customHeight="1">
      <c r="A6" s="26" t="s">
        <v>474</v>
      </c>
      <c r="B6" s="5" t="s">
        <v>475</v>
      </c>
      <c r="D6" s="26" t="s">
        <v>476</v>
      </c>
      <c r="E6" s="5" t="s">
        <v>477</v>
      </c>
    </row>
    <row r="7" spans="1:6" ht="51.75" customHeight="1">
      <c r="A7" s="26" t="s">
        <v>478</v>
      </c>
      <c r="B7" s="5" t="s">
        <v>479</v>
      </c>
      <c r="D7" s="26" t="s">
        <v>480</v>
      </c>
      <c r="E7" s="5" t="s">
        <v>481</v>
      </c>
    </row>
    <row r="8" spans="1:6" ht="66.75" customHeight="1">
      <c r="A8" s="26" t="s">
        <v>482</v>
      </c>
      <c r="B8" s="5" t="s">
        <v>483</v>
      </c>
      <c r="D8" s="26" t="s">
        <v>484</v>
      </c>
      <c r="E8" s="5" t="s">
        <v>485</v>
      </c>
    </row>
    <row r="9" spans="1:6" ht="51.75" customHeight="1">
      <c r="A9" s="26" t="s">
        <v>486</v>
      </c>
      <c r="B9" s="5" t="s">
        <v>487</v>
      </c>
    </row>
    <row r="10" spans="1:6" ht="66.75" customHeight="1">
      <c r="A10" s="26" t="s">
        <v>488</v>
      </c>
      <c r="B10" s="5" t="s">
        <v>489</v>
      </c>
    </row>
    <row r="11" spans="1:6" ht="51.75" customHeight="1">
      <c r="A11" s="26" t="s">
        <v>490</v>
      </c>
      <c r="B11" s="5" t="s">
        <v>491</v>
      </c>
    </row>
    <row r="12" spans="1:6" ht="51.75" customHeight="1">
      <c r="A12" s="26" t="s">
        <v>492</v>
      </c>
      <c r="B12" s="5" t="s">
        <v>493</v>
      </c>
    </row>
    <row r="13" spans="1:6" ht="36.75" customHeight="1">
      <c r="A13" s="26" t="s">
        <v>494</v>
      </c>
      <c r="B13" s="5" t="s">
        <v>495</v>
      </c>
    </row>
    <row r="14" spans="1:6" ht="36.75" customHeight="1">
      <c r="A14" s="26" t="s">
        <v>496</v>
      </c>
      <c r="B14" s="5" t="s">
        <v>497</v>
      </c>
    </row>
    <row r="15" spans="1:6" ht="36.75" customHeight="1">
      <c r="A15" s="26" t="s">
        <v>498</v>
      </c>
      <c r="B15" s="5" t="s">
        <v>499</v>
      </c>
    </row>
    <row r="16" spans="1:6" ht="9.75" customHeight="1"/>
    <row r="17" spans="1:2" ht="9.75" customHeight="1"/>
    <row r="18" spans="1:2" ht="24" customHeight="1">
      <c r="A18" s="27" t="s">
        <v>500</v>
      </c>
      <c r="B18" s="27"/>
    </row>
    <row r="19" spans="1:2" ht="21.75" customHeight="1">
      <c r="A19" s="26" t="s">
        <v>57</v>
      </c>
      <c r="B19" s="5" t="s">
        <v>76</v>
      </c>
    </row>
    <row r="20" spans="1:2" ht="21.75" customHeight="1">
      <c r="A20" s="26" t="s">
        <v>48</v>
      </c>
      <c r="B20" s="5" t="s">
        <v>471</v>
      </c>
    </row>
    <row r="21" spans="1:2" ht="51.75" customHeight="1">
      <c r="A21" s="26" t="s">
        <v>474</v>
      </c>
      <c r="B21" s="5" t="s">
        <v>501</v>
      </c>
    </row>
    <row r="22" spans="1:2" ht="51.75" customHeight="1">
      <c r="A22" s="26" t="s">
        <v>478</v>
      </c>
      <c r="B22" s="5" t="s">
        <v>502</v>
      </c>
    </row>
    <row r="23" spans="1:2" ht="51.75" customHeight="1">
      <c r="A23" s="26" t="s">
        <v>482</v>
      </c>
      <c r="B23" s="5" t="s">
        <v>503</v>
      </c>
    </row>
    <row r="24" spans="1:2" ht="51.75" customHeight="1">
      <c r="A24" s="26" t="s">
        <v>486</v>
      </c>
      <c r="B24" s="5" t="s">
        <v>504</v>
      </c>
    </row>
    <row r="25" spans="1:2" ht="36.75" customHeight="1">
      <c r="A25" s="26" t="s">
        <v>505</v>
      </c>
      <c r="B25" s="5" t="s">
        <v>506</v>
      </c>
    </row>
    <row r="26" spans="1:2" ht="36.75" customHeight="1">
      <c r="A26" s="26" t="s">
        <v>507</v>
      </c>
      <c r="B26" s="5" t="s">
        <v>508</v>
      </c>
    </row>
    <row r="27" spans="1:2" ht="51.75" customHeight="1">
      <c r="A27" s="26" t="s">
        <v>509</v>
      </c>
      <c r="B27" s="5" t="s">
        <v>510</v>
      </c>
    </row>
    <row r="28" spans="1:2" ht="36.75" customHeight="1">
      <c r="A28" s="26" t="s">
        <v>494</v>
      </c>
      <c r="B28" s="5" t="s">
        <v>511</v>
      </c>
    </row>
    <row r="29" spans="1:2" ht="36.75" customHeight="1">
      <c r="A29" s="26" t="s">
        <v>496</v>
      </c>
      <c r="B29" s="5" t="s">
        <v>512</v>
      </c>
    </row>
    <row r="30" spans="1:2" ht="36.75" customHeight="1">
      <c r="A30" s="26" t="s">
        <v>498</v>
      </c>
      <c r="B30" s="5" t="s">
        <v>513</v>
      </c>
    </row>
    <row r="31" spans="1:2" ht="9.75" customHeight="1"/>
    <row r="32" spans="1:2" ht="9.75" customHeight="1"/>
    <row r="33" spans="1:2" ht="24" customHeight="1">
      <c r="A33" s="27" t="s">
        <v>514</v>
      </c>
      <c r="B33" s="27"/>
    </row>
    <row r="34" spans="1:2" ht="30" customHeight="1">
      <c r="A34" s="26" t="s">
        <v>57</v>
      </c>
      <c r="B34" s="5" t="s">
        <v>36</v>
      </c>
    </row>
    <row r="35" spans="1:2" ht="30" customHeight="1">
      <c r="A35" s="26" t="s">
        <v>48</v>
      </c>
      <c r="B35" s="5" t="s">
        <v>471</v>
      </c>
    </row>
    <row r="36" spans="1:2" ht="30" customHeight="1">
      <c r="A36" s="26" t="s">
        <v>474</v>
      </c>
      <c r="B36" s="5"/>
    </row>
    <row r="37" spans="1:2" ht="30" customHeight="1">
      <c r="A37" s="26" t="s">
        <v>478</v>
      </c>
      <c r="B37" s="5"/>
    </row>
    <row r="38" spans="1:2" ht="30" customHeight="1">
      <c r="A38" s="26" t="s">
        <v>482</v>
      </c>
      <c r="B38" s="5"/>
    </row>
    <row r="39" spans="1:2" ht="30" customHeight="1">
      <c r="A39" s="26" t="s">
        <v>486</v>
      </c>
      <c r="B39" s="5"/>
    </row>
    <row r="40" spans="1:2" ht="30" customHeight="1">
      <c r="A40" s="26" t="s">
        <v>505</v>
      </c>
      <c r="B40" s="5"/>
    </row>
    <row r="41" spans="1:2" ht="30" customHeight="1">
      <c r="A41" s="26" t="s">
        <v>507</v>
      </c>
      <c r="B41" s="5"/>
    </row>
    <row r="42" spans="1:2" ht="36.75" customHeight="1">
      <c r="A42" s="26" t="s">
        <v>509</v>
      </c>
      <c r="B42" s="5"/>
    </row>
    <row r="43" spans="1:2" ht="30" customHeight="1">
      <c r="A43" s="26" t="s">
        <v>494</v>
      </c>
      <c r="B43" s="5"/>
    </row>
    <row r="44" spans="1:2" ht="30" customHeight="1">
      <c r="A44" s="26" t="s">
        <v>496</v>
      </c>
      <c r="B44" s="5"/>
    </row>
    <row r="45" spans="1:2" ht="30" customHeight="1">
      <c r="A45" s="26" t="s">
        <v>498</v>
      </c>
      <c r="B45" s="5"/>
    </row>
  </sheetData>
  <mergeCells count="2">
    <mergeCell ref="D3:F3"/>
    <mergeCell ref="A1:F1"/>
  </mergeCells>
  <dataValidations count="1">
    <dataValidation type="list" allowBlank="1" showErrorMessage="1" sqref="B4 B34 B19" xr:uid="{00000000-0002-0000-0800-000000000000}">
      <formula1>"Unit 1 / Phase 1,Unit 3 / Phase 2,Phase 3,Final"</formula1>
      <formula2>0</formula2>
    </dataValidation>
  </dataValidations>
  <pageMargins left="0.4" right="0.4" top="0.5" bottom="0.6" header="0.511811023622047" footer="0.51180555555555596"/>
  <pageSetup paperSize="9" fitToHeight="0" orientation="landscape" horizontalDpi="300" verticalDpi="300"/>
  <headerFooter>
    <oddFooter>&amp;C&amp;A  |  Page &amp;P of &amp;N&amp;RITC327W Project Progress Workbook</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Instructions</vt:lpstr>
      <vt:lpstr>Project Overview</vt:lpstr>
      <vt:lpstr>GitHub Upload Plan</vt:lpstr>
      <vt:lpstr>Task Progress</vt:lpstr>
      <vt:lpstr>Individual Contributions</vt:lpstr>
      <vt:lpstr>Challenges &amp; Actions</vt:lpstr>
      <vt:lpstr>Phase Summary</vt:lpstr>
      <vt:lpstr>Stakeholder Engagement</vt:lpstr>
      <vt:lpstr>Group Reflection</vt:lpstr>
      <vt:lpstr>'Challenges &amp; Actions'!Print_Titles</vt:lpstr>
      <vt:lpstr>'Individual Contributions'!Print_Titles</vt:lpstr>
      <vt:lpstr>'Phase Summary'!Print_Titles</vt:lpstr>
      <vt:lpstr>'Stakeholder Engagement'!Print_Titles</vt:lpstr>
      <vt:lpstr>'Task Progress'!Print_Titles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4</cp:revision>
  <dcterms:created xsi:type="dcterms:W3CDTF">2026-08-26T12:09:00Z</dcterms:created>
  <dcterms:modified xsi:type="dcterms:W3CDTF">2026-10-23T09:53:24Z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2EA657B9D2984658AD07E2FFA6DFDD31_12</vt:lpwstr>
  </property>
  <property fmtid="{D5CDD505-2E9C-101B-9397-08002B2CF9AE}" pid="4" name="KSOProductBuildVer">
    <vt:lpwstr>1033-12.1.0.28032</vt:lpwstr>
  </property>
</Properties>
</file>