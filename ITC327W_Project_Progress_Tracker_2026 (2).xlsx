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00" tabRatio="500" firstSheet="3" activeTab="7"/>
  </bookViews>
  <sheets>
    <sheet name="Instructions" sheetId="1" r:id="rId1"/>
    <sheet name="Project Overview" sheetId="2" r:id="rId2"/>
    <sheet name="Task Progress" sheetId="3" r:id="rId3"/>
    <sheet name="Individual Contributions" sheetId="4" r:id="rId4"/>
    <sheet name="Challenges &amp; Actions" sheetId="5" r:id="rId5"/>
    <sheet name="Phase Summary" sheetId="6" r:id="rId6"/>
    <sheet name="Stakeholder Engagement"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<sst xmlns="http://schemas.openxmlformats.org/spreadsheetml/2006/main" count="366" uniqueCount="266">
  <si>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</si>
  <si>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</si>
  <si>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</si>
  <si>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</si>
  <si>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</si>
  <si>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</si>
  <si>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</si>
  <si>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</si>
  <si>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</si>
  <si>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</si>
  <si>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</si>
  <si>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</si>
  <si>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</si>
  <si>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</si>
  <si>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</si>
  <si>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</si>
  <si>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</si>
  <si>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</si>
  <si>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</si>
  <si>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</si>
  <si>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</si>
  <si>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</si>
  <si>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</si>
  <si>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</si>
  <si>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</si>
  <si>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</si>
  <si>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</si>
  <si>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</si>
  <si>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</si>
  <si>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</si>
  <si>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</si>
  <si>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</si>
  <si>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</si>
  <si>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</si>
  <si>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</si>
  <si>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</si>
  <si>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</si>
  <si>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</si>
  <si>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</si>
  <si>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</si>
  <si>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</si>
  <si>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</si>
  <si>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</si>
  <si>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</si>
  <si>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</si>
  <si>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</si>
  <si>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Group 4 — Digital Vanguard</t>
  </si>
  <si>
    <t>Completed</t>
  </si>
  <si>
    <t>Project title</t>
  </si>
  <si>
    <t>Nama Nameng: A Mobile and Web-Based Ordering, Payment and Queue Management System</t>
  </si>
  <si>
    <t>In Progress</t>
  </si>
  <si>
    <t>Stakeholder or organisation</t>
  </si>
  <si>
    <t>Nama Nameng (Chisa Nyama) — Owner: Doja</t>
  </si>
  <si>
    <t>Not Started</t>
  </si>
  <si>
    <t>Group mentor</t>
  </si>
  <si>
    <t>To be confirmed with module coordinator</t>
  </si>
  <si>
    <t>Delayed</t>
  </si>
  <si>
    <t>Reporting phase</t>
  </si>
  <si>
    <t>Blocked</t>
  </si>
  <si>
    <t>Reporting period</t>
  </si>
  <si>
    <t>18 Aug 2026 – 26 Aug 2026</t>
  </si>
  <si>
    <t>Overdue</t>
  </si>
  <si>
    <t>Overall status</t>
  </si>
  <si>
    <t>Overall % complete</t>
  </si>
  <si>
    <t>Contribution Summary</t>
  </si>
  <si>
    <t>Main achievement</t>
  </si>
  <si>
    <t>Completed the stakeholder-confirmed SRS covering problem analysis, requirements, feasibility study and risk register, plus initial GitHub and Supabase setup.</t>
  </si>
  <si>
    <t>Contribution entries</t>
  </si>
  <si>
    <t>Main challenge</t>
  </si>
  <si>
    <t>Deciding the payment approach — full online payment was descoped to cash-on-collection after feasibility review, which required updating the requirements change log.</t>
  </si>
  <si>
    <t>Verified entries</t>
  </si>
  <si>
    <t>Next planned activity</t>
  </si>
  <si>
    <t>Push actual project files (SRS, MPP, Excel tracker, mobile/web code skeletons) into GitHub with commits from every group member, then begin system design (UML/ERD).</t>
  </si>
  <si>
    <t>Unverified entries</t>
  </si>
  <si>
    <t>Stakeholder engagements</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</si>
  <si>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</si>
  <si>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</si>
  <si>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</si>
  <si>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</si>
  <si>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</si>
  <si>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</si>
  <si>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</si>
  <si>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</si>
  <si>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</si>
  <si>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</si>
  <si>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</si>
  <si>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</si>
  <si>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</si>
  <si>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</si>
  <si>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U1-01</t>
  </si>
  <si>
    <t>Activity 1.1</t>
  </si>
  <si>
    <t>Identify and confirm the external stakeholder</t>
  </si>
  <si>
    <t>Portia Nkotseng Sefatsa , Charmaine Mogotsi</t>
  </si>
  <si>
    <t>SRS Appendix A/B — stakeholder identification and confirmation notes</t>
  </si>
  <si>
    <t>Yes</t>
  </si>
  <si>
    <t>U1-02</t>
  </si>
  <si>
    <t>Document the current process and problem</t>
  </si>
  <si>
    <t xml:space="preserve">Neo Lekhelebana , Tshepang Morake </t>
  </si>
  <si>
    <t>SRS Sections 3 &amp; 9 — Problem Statement and Current Process</t>
  </si>
  <si>
    <t>U1-03</t>
  </si>
  <si>
    <t>Define the project aim, objectives and scope</t>
  </si>
  <si>
    <t>Hlayiseka Matsimbi , Neo Lekhelebana</t>
  </si>
  <si>
    <t>SRS Sections 4–5 — Aim, Objectives and Scope</t>
  </si>
  <si>
    <t>U1-04</t>
  </si>
  <si>
    <t>Activity 1.2</t>
  </si>
  <si>
    <t>Prepare stakeholder interview questions</t>
  </si>
  <si>
    <t>SRS Appendix A — interview questions</t>
  </si>
  <si>
    <t>U1-05</t>
  </si>
  <si>
    <t>Conduct and document the stakeholder interview</t>
  </si>
  <si>
    <t>All Group Members</t>
  </si>
  <si>
    <t>SRS Appendix A — Interview Notes</t>
  </si>
  <si>
    <t>U1-06</t>
  </si>
  <si>
    <t>Activity 1.3</t>
  </si>
  <si>
    <t>Compile the initial SRS</t>
  </si>
  <si>
    <t>docs/ folder in GitHub repository — SRS document</t>
  </si>
  <si>
    <t>U1-07</t>
  </si>
  <si>
    <t>Create the initial Microsoft Project schedule</t>
  </si>
  <si>
    <t>Tshepang Morake , Hlayiseka Matsimbi</t>
  </si>
  <si>
    <t>project-management/ folder in GitHub repository — MS Project file</t>
  </si>
  <si>
    <t>U1-08</t>
  </si>
  <si>
    <t>Create and configure the GitHub repository</t>
  </si>
  <si>
    <t>Neo Lekhelebana , Charmaine Mogotsi</t>
  </si>
  <si>
    <t>https://github.com/Lekhelebana/WIL-Project</t>
  </si>
  <si>
    <t>U1-09</t>
  </si>
  <si>
    <t>Create the initial Supabase project</t>
  </si>
  <si>
    <t>Portia Nkotseng Sefatsa , Tshepang Morake</t>
  </si>
  <si>
    <t>https://supabase.com/dashboard/project/qmcwfnupigrpkmtommcd</t>
  </si>
  <si>
    <t>U1-10</t>
  </si>
  <si>
    <t>Complete the progress report and contribution record</t>
  </si>
  <si>
    <t>Hlayiseka Matsimbi</t>
  </si>
  <si>
    <t>ITC327W_Project_Progress_Tracker_2026.xlsx (this workbook)</t>
  </si>
  <si>
    <t>U1-11</t>
  </si>
  <si>
    <t>Complete the Unit 1 group reflection</t>
  </si>
  <si>
    <t>Group Reflection sheet (this workbook)</t>
  </si>
  <si>
    <t>Individual Contribution Record</t>
  </si>
  <si>
    <t>Student Name</t>
  </si>
  <si>
    <t>Student Number</t>
  </si>
  <si>
    <t>Assigned Responsibility</t>
  </si>
  <si>
    <t>Work Personally Completed</t>
  </si>
  <si>
    <t>Date Completed</t>
  </si>
  <si>
    <t>Hours Spent</t>
  </si>
  <si>
    <t>Verification Date</t>
  </si>
  <si>
    <t>Notes</t>
  </si>
  <si>
    <t>Neo Lekhelebana</t>
  </si>
  <si>
    <t>-Activity 1.1
-Activity 1.2
-Activity 1.3</t>
  </si>
  <si>
    <t>-Create the inital supabase setup
-Define the project aim, objectives and scope</t>
  </si>
  <si>
    <t>Documentation and  Supabase setups.</t>
  </si>
  <si>
    <t>18/08/2026</t>
  </si>
  <si>
    <t>3 Hours</t>
  </si>
  <si>
    <t>Supabase dashboard (link in Task Progress U1-09); SRS Sections 4–5</t>
  </si>
  <si>
    <t>25/08/2026</t>
  </si>
  <si>
    <t>Tshepang Morake</t>
  </si>
  <si>
    <t>-Activity 1.1
-Activity 1.3</t>
  </si>
  <si>
    <t>-Create inital Supabase setup
-Microsoft Project Plan</t>
  </si>
  <si>
    <t>Microsoft project plan and initial Supabase setup.</t>
  </si>
  <si>
    <t>24/08/2026</t>
  </si>
  <si>
    <t>2 Hours</t>
  </si>
  <si>
    <t>project-management/ folder in GitHub repo (MPP file); Supabase dashboard link</t>
  </si>
  <si>
    <t>Portia Sefatsa</t>
  </si>
  <si>
    <t xml:space="preserve">-Activity 1.1
-Activity 1.2
</t>
  </si>
  <si>
    <t>-Project Risk Analysis
-Create the initial Supabase project</t>
  </si>
  <si>
    <t>Initial Supabase Setup and project risk anaylsis.</t>
  </si>
  <si>
    <t>4 Hours</t>
  </si>
  <si>
    <t>SRS Project Risk Register section; Supabase dashboard link</t>
  </si>
  <si>
    <t>Charmaine Mogotsi</t>
  </si>
  <si>
    <t>-Prepare stakeholder interview questions
 -Create and configure the GitHub repository</t>
  </si>
  <si>
    <t>configuring the Github repository and stakehlder questions preparations.</t>
  </si>
  <si>
    <t>5 hours</t>
  </si>
  <si>
    <t>GitHub repo commit history and README; SRS Appendix A interview questions</t>
  </si>
  <si>
    <t>-Complete the progress report and contribution record
-Define the project aim, objectives and scope</t>
  </si>
  <si>
    <t>Project scope triple constraints documentation and progress report contribution.</t>
  </si>
  <si>
    <t>26/08/2026</t>
  </si>
  <si>
    <t>5 Hours</t>
  </si>
  <si>
    <t>This workbook (Progress Tracker); SRS Section 5 Project Scope</t>
  </si>
  <si>
    <t>Challenges and Corrective Actions</t>
  </si>
  <si>
    <t>Date Identified</t>
  </si>
  <si>
    <t>Challenge</t>
  </si>
  <si>
    <t>Effect on Progress</t>
  </si>
  <si>
    <t>Corrective Action</t>
  </si>
  <si>
    <t>Responsible Student</t>
  </si>
  <si>
    <t>Target Date</t>
  </si>
  <si>
    <t>23/08/2026</t>
  </si>
  <si>
    <t xml:space="preserve">Online payment </t>
  </si>
  <si>
    <t>Uncertainty on the features to be included and project scope</t>
  </si>
  <si>
    <t>Attempt using open source API</t>
  </si>
  <si>
    <t>28/09/2026</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</si>
  <si>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</si>
  <si>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</si>
  <si>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</si>
  <si>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</si>
  <si>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</si>
  <si>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</si>
  <si>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</si>
  <si>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</si>
  <si>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Detailed SRS, project scope, stakeholder requirements, supabase setup and github configuration.</t>
  </si>
  <si>
    <t>Stakeholder engagement recorded</t>
  </si>
  <si>
    <t>What remains incomplete?</t>
  </si>
  <si>
    <t>None</t>
  </si>
  <si>
    <t>Challenges and actions updated</t>
  </si>
  <si>
    <t>Why is it incomplete?</t>
  </si>
  <si>
    <t>N/A</t>
  </si>
  <si>
    <t>Group reflection completed</t>
  </si>
  <si>
    <t>Which contributions were particularly important?</t>
  </si>
  <si>
    <t>Supabase setup,Github configuration and progress tracker.</t>
  </si>
  <si>
    <t>Microsoft Project updated</t>
  </si>
  <si>
    <t>Were there participation concerns?</t>
  </si>
  <si>
    <t>No</t>
  </si>
  <si>
    <t>GitHub evidence available</t>
  </si>
  <si>
    <t>What will the group improve in the next phase?</t>
  </si>
  <si>
    <t xml:space="preserve">Time management, strategic WBS and innovative </t>
  </si>
  <si>
    <t>Confidential peer check completed</t>
  </si>
  <si>
    <t>Main priority for the next phase</t>
  </si>
  <si>
    <t>Continue according to the project project plan and work on a much faster pace than the current phase.</t>
  </si>
  <si>
    <t>Stakeholder Engagement Record</t>
  </si>
  <si>
    <t>Date</t>
  </si>
  <si>
    <t>Type of Engagement</t>
  </si>
  <si>
    <t>Students Present</t>
  </si>
  <si>
    <t>Stakeholder Present / Role</t>
  </si>
  <si>
    <t>Main Findings</t>
  </si>
  <si>
    <t>Action Required</t>
  </si>
  <si>
    <t>Site Visit</t>
  </si>
  <si>
    <t>Discover a stakeholder</t>
  </si>
  <si>
    <t>All Group Member</t>
  </si>
  <si>
    <t>Owner</t>
  </si>
  <si>
    <t>Problems of the organisation</t>
  </si>
  <si>
    <t>address the solution</t>
  </si>
  <si>
    <t>SRS Appendix C — Site Visit / Photographic evidence</t>
  </si>
  <si>
    <t>Meeting</t>
  </si>
  <si>
    <t>Engagement wiht Stakeholder</t>
  </si>
  <si>
    <t>Owner &amp; Staff</t>
  </si>
  <si>
    <t>Scope Requirements</t>
  </si>
  <si>
    <t>Gather Scope Requirements</t>
  </si>
  <si>
    <t>SRS Appendix B — Requirements Confirmation Evidence</t>
  </si>
  <si>
    <t>Reflection Information</t>
  </si>
  <si>
    <t>Reflection Guidance</t>
  </si>
  <si>
    <t>Length</t>
  </si>
  <si>
    <t>Approximately 300–400 words in total.</t>
  </si>
  <si>
    <t>Nama Nameng</t>
  </si>
  <si>
    <t>Focus</t>
  </si>
  <si>
    <t>Discuss the group’s actual experience, not the activity instructions.</t>
  </si>
  <si>
    <t>Most important learning from this phase</t>
  </si>
  <si>
    <t>That requirements only become real once they are checked against an actual stakeholder — several assumptions we made before meeting Doja turned out to be wrong, particularly around online payment.</t>
  </si>
  <si>
    <t>Honesty</t>
  </si>
  <si>
    <t>Identifying a genuine challenge will not disadvantage the group when an improvement action is provided.</t>
  </si>
  <si>
    <t>What went well and why?</t>
  </si>
  <si>
    <t>Stakeholder engagement went well because we prepared interview questions in advance and visited the premises directly, which gave us specific, usable detail for the problem statement rather than guesses.</t>
  </si>
  <si>
    <t>Evidence</t>
  </si>
  <si>
    <t>Ensure that claims about participation agree with the contribution record, Microsoft Project and GitHub.</t>
  </si>
  <si>
    <t>What was difficult and why?</t>
  </si>
  <si>
    <t>Agreeing on the exact scope for payment handling was difficult, since the stakeholder was open to card payment but a full gateway was not realistic for a semester prototype — we resolved this through the feasibility study and logged it as a scope change.</t>
  </si>
  <si>
    <t>Research use</t>
  </si>
  <si>
    <t>Student work may only be used for research after the required ethical approval and consent processes.</t>
  </si>
  <si>
    <t>How were tasks divided among members?</t>
  </si>
  <si>
    <t>Tasks were divided by activity (stakeholder engagement, documentation, Supabase setup, GitHub configuration, Microsoft Project) with each pair or individual owning a clear deliverable, tracked in this workbook.</t>
  </si>
  <si>
    <t>Did all members contribute fairly? Explain.</t>
  </si>
  <si>
    <t>Yes — each member completed at least one substantive deliverable (interviews, SRS sections, Supabase setup, GitHub configuration, or the progress report), verified by the group against the evidence in the Individual Contributions sheet.</t>
  </si>
  <si>
    <t>How did the group handle disagreements or delays?</t>
  </si>
  <si>
    <t>Minor scheduling friction around the stakeholder's trading hours was resolved by planning visits around off-peak times; no major disagreements arose in this phase.</t>
  </si>
  <si>
    <t>What did the group learn from the stakeholder?</t>
  </si>
  <si>
    <t>That the business runs almost entirely on WhatsApp and word-of-mouth, and that queuing and order-accuracy — not lack of interest in technology — are the real pain points driving the need for this system.</t>
  </si>
  <si>
    <t>Improvement action 1 for the next phase</t>
  </si>
  <si>
    <t>Push all project artefacts (code, MPP, tracker) into GitHub with commits from every member, not just one.</t>
  </si>
  <si>
    <t>Improvement action 2 for the next phase</t>
  </si>
  <si>
    <t>Start system design (UML/ERD) earlier in Phase 2 to protect schedule feasibility, given R-07 is our highest-rated risk.</t>
  </si>
  <si>
    <t>Priority for the next phase</t>
  </si>
  <si>
    <t>Validate the Flutter–ASP.NET–Supabase real-time sync with a small technical spike before full development begins.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</si>
</sst>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yyyy\-mm\-dd"/>
    <numFmt numFmtId="177" formatCode="0.0"/>
    <numFmt numFmtId="178" formatCode="0\%"/>
    <numFmt numFmtId="179" formatCode="0.0%"/>
  </numFmts>
  <fonts count="28">
    <font>
      <sz val="11"/>
      <name val="Calibri"/>
      <charset val="134"/>
    </font>
    <font>
      <b/>
      <sz val="16"/>
      <color rgb="FFFFFFFF"/>
      <name val="Calibri"/>
      <charset val="134"/>
    </font>
    <font>
      <b/>
      <sz val="11"/>
      <color rgb="FFFFFFFF"/>
      <name val="Calibri"/>
      <charset val="134"/>
    </font>
    <font>
      <b/>
      <sz val="11"/>
      <color rgb="FF0B2E59"/>
      <name val="Calibri"/>
      <charset val="134"/>
    </font>
    <font>
      <sz val="11"/>
      <color rgb="FF1F2937"/>
      <name val="Calibri"/>
      <charset val="134"/>
    </font>
    <font>
      <sz val="11.25"/>
      <color rgb="FF0F1115"/>
      <name val="Segoe UI"/>
      <charset val="134"/>
    </font>
    <font>
      <u/>
      <sz val="11"/>
      <color rgb="FF0000FF"/>
      <name val="Calibri"/>
      <charset val="134"/>
    </font>
    <font>
      <i/>
      <sz val="11"/>
      <color rgb="FF1F2937"/>
      <name val="Calibri"/>
      <charset val="134"/>
    </font>
    <font>
      <sz val="10"/>
      <name val="Arial"/>
      <charset val="134"/>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0B2E59"/>
        <bgColor rgb="FF1F2937"/>
      </patternFill>
    </fill>
    <fill>
      <patternFill patternType="solid">
        <fgColor rgb="FFDCEAF7"/>
        <bgColor rgb="FFDCFCE7"/>
      </patternFill>
    </fill>
    <fill>
      <patternFill patternType="solid">
        <fgColor rgb="FFF4F8FC"/>
        <bgColor rgb="FFFFFFFF"/>
      </patternFill>
    </fill>
    <fill>
      <patternFill patternType="solid">
        <fgColor rgb="FFFFF8E1"/>
        <bgColor rgb="FFFEF3C7"/>
      </patternFill>
    </fill>
    <fill>
      <patternFill patternType="solid">
        <fgColor rgb="FF1F5A94"/>
        <bgColor rgb="FF15608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Border="0" applyAlignment="0" applyProtection="0"/>
    <xf numFmtId="44" fontId="8" fillId="0" borderId="0" applyBorder="0" applyAlignment="0" applyProtection="0"/>
    <xf numFmtId="9" fontId="8" fillId="0" borderId="0" applyBorder="0" applyAlignment="0" applyProtection="0"/>
    <xf numFmtId="41" fontId="8" fillId="0" borderId="0" applyBorder="0" applyAlignment="0" applyProtection="0"/>
    <xf numFmtId="42" fontId="8" fillId="0" borderId="0" applyBorder="0" applyAlignment="0" applyProtection="0"/>
    <xf numFmtId="0" fontId="6" fillId="0" borderId="0">
      <alignment vertical="center"/>
    </xf>
    <xf numFmtId="0" fontId="9" fillId="0" borderId="0" applyNumberFormat="0" applyFill="0" applyBorder="0" applyAlignment="0" applyProtection="0">
      <alignment vertical="center"/>
    </xf>
    <xf numFmtId="0" fontId="10" fillId="7"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8" borderId="4" applyNumberFormat="0" applyAlignment="0" applyProtection="0">
      <alignment vertical="center"/>
    </xf>
    <xf numFmtId="0" fontId="18" fillId="9" borderId="5" applyNumberFormat="0" applyAlignment="0" applyProtection="0">
      <alignment vertical="center"/>
    </xf>
    <xf numFmtId="0" fontId="19" fillId="9" borderId="4" applyNumberFormat="0" applyAlignment="0" applyProtection="0">
      <alignment vertical="center"/>
    </xf>
    <xf numFmtId="0" fontId="20" fillId="10"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20">
    <xf numFmtId="0" fontId="0" fillId="0" borderId="0" xfId="0"/>
    <xf numFmtId="0" fontId="1" fillId="2" borderId="0" xfId="0" applyFont="1" applyFill="1" applyBorder="1" applyAlignment="1">
      <alignment horizontal="left" vertical="center"/>
    </xf>
    <xf numFmtId="0" fontId="2" fillId="2" borderId="0" xfId="0" applyFont="1" applyFill="1" applyAlignment="1">
      <alignment horizontal="center" vertical="center" wrapText="1"/>
    </xf>
    <xf numFmtId="0" fontId="2" fillId="2" borderId="0" xfId="0" applyFont="1" applyFill="1" applyBorder="1" applyAlignment="1">
      <alignment horizontal="center" vertical="center" wrapText="1"/>
    </xf>
    <xf numFmtId="0" fontId="3" fillId="3" borderId="0" xfId="0" applyFont="1" applyFill="1" applyAlignment="1">
      <alignment horizontal="left" vertical="center" wrapText="1"/>
    </xf>
    <xf numFmtId="0" fontId="4" fillId="4" borderId="0" xfId="0" applyFont="1" applyFill="1" applyAlignment="1">
      <alignment vertical="top" wrapText="1"/>
    </xf>
    <xf numFmtId="0" fontId="0" fillId="0" borderId="0" xfId="0" applyFont="1" applyAlignment="1">
      <alignment wrapText="1"/>
    </xf>
    <xf numFmtId="176" fontId="0" fillId="0" borderId="0" xfId="0" applyNumberFormat="1" applyAlignment="1">
      <alignment vertical="top" wrapText="1"/>
    </xf>
    <xf numFmtId="0" fontId="0" fillId="0" borderId="0" xfId="0" applyAlignment="1">
      <alignment vertical="top" wrapText="1"/>
    </xf>
    <xf numFmtId="0" fontId="0" fillId="0" borderId="0" xfId="0" applyFont="1" applyAlignment="1">
      <alignment vertical="top" wrapText="1"/>
    </xf>
    <xf numFmtId="0" fontId="0" fillId="0" borderId="0" xfId="0" applyFont="1"/>
    <xf numFmtId="177" fontId="0" fillId="0" borderId="0" xfId="0" applyNumberFormat="1" applyAlignment="1">
      <alignment vertical="top" wrapText="1"/>
    </xf>
    <xf numFmtId="178" fontId="0" fillId="0" borderId="0" xfId="0" applyNumberFormat="1" applyAlignment="1">
      <alignment vertical="top" wrapText="1"/>
    </xf>
    <xf numFmtId="0" fontId="5" fillId="0" borderId="0" xfId="0" applyFont="1"/>
    <xf numFmtId="0" fontId="6" fillId="0" borderId="0" xfId="6">
      <alignment vertical="center"/>
    </xf>
    <xf numFmtId="0" fontId="6" fillId="0" borderId="0" xfId="6" applyFont="1" applyAlignment="1">
      <alignment vertical="top" wrapText="1"/>
    </xf>
    <xf numFmtId="0" fontId="0" fillId="0" borderId="0" xfId="0" applyAlignment="1">
      <alignment horizontal="center"/>
    </xf>
    <xf numFmtId="179" fontId="4" fillId="4" borderId="0" xfId="0" applyNumberFormat="1" applyFont="1" applyFill="1" applyAlignment="1">
      <alignment vertical="top" wrapText="1"/>
    </xf>
    <xf numFmtId="0" fontId="7" fillId="5" borderId="0" xfId="0" applyFont="1" applyFill="1" applyBorder="1" applyAlignment="1">
      <alignment vertical="top" wrapText="1"/>
    </xf>
    <xf numFmtId="0" fontId="2" fillId="6" borderId="0" xfId="0" applyFont="1" applyFill="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2">
    <dxf>
      <fill>
        <patternFill patternType="solid">
          <bgColor rgb="FFDCFCE7"/>
        </patternFill>
      </fill>
    </dxf>
    <dxf>
      <fill>
        <patternFill patternType="solid">
          <bgColor rgb="FFDCEAF7"/>
        </patternFill>
      </fill>
    </dxf>
    <dxf>
      <fill>
        <patternFill patternType="solid">
          <bgColor rgb="FFFEF3C7"/>
        </patternFill>
      </fill>
    </dxf>
    <dxf>
      <fill>
        <patternFill patternType="solid">
          <bgColor rgb="FFFEE2E2"/>
        </patternFill>
      </fill>
    </dxf>
    <dxf>
      <font>
        <b val="1"/>
      </font>
      <fill>
        <patternFill patternType="solid">
          <bgColor rgb="FFFEE2E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156082"/>
      <rgbColor rgb="00CCCCCC"/>
      <rgbColor rgb="008B8B8B"/>
      <rgbColor rgb="009999FF"/>
      <rgbColor rgb="00993366"/>
      <rgbColor rgb="00FFF8E1"/>
      <rgbColor rgb="00DCFCE7"/>
      <rgbColor rgb="00660066"/>
      <rgbColor rgb="00FF8080"/>
      <rgbColor rgb="001F5A94"/>
      <rgbColor rgb="00D9D9D9"/>
      <rgbColor rgb="00000080"/>
      <rgbColor rgb="00FF00FF"/>
      <rgbColor rgb="00FFFF00"/>
      <rgbColor rgb="0000FFFF"/>
      <rgbColor rgb="00800080"/>
      <rgbColor rgb="00800000"/>
      <rgbColor rgb="00008080"/>
      <rgbColor rgb="000000FF"/>
      <rgbColor rgb="0000CCFF"/>
      <rgbColor rgb="00DCEAF7"/>
      <rgbColor rgb="00F4F8FC"/>
      <rgbColor rgb="00FEF3C7"/>
      <rgbColor rgb="0099CCFF"/>
      <rgbColor rgb="00FF99CC"/>
      <rgbColor rgb="00CC99FF"/>
      <rgbColor rgb="00FEE2E2"/>
      <rgbColor rgb="003366FF"/>
      <rgbColor rgb="0033CCCC"/>
      <rgbColor rgb="0099CC00"/>
      <rgbColor rgb="00FFCC00"/>
      <rgbColor rgb="00FF9900"/>
      <rgbColor rgb="00FF6600"/>
      <rgbColor rgb="00666699"/>
      <rgbColor rgb="00969696"/>
      <rgbColor rgb="000B2E59"/>
      <rgbColor rgb="00339966"/>
      <rgbColor rgb="000F1115"/>
      <rgbColor rgb="00333300"/>
      <rgbColor rgb="00993300"/>
      <rgbColor rgb="00993366"/>
      <rgbColor rgb="00333399"/>
      <rgbColor rgb="00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ZA" sz="1800" b="1" i="0" u="none" strike="noStrike" kern="1200" spc="-1" baseline="0">
                <a:solidFill>
                  <a:srgbClr val="000000"/>
                </a:solidFill>
                <a:latin typeface="Calibri" panose="020F0502020204030204"/>
                <a:ea typeface="Calibri" panose="020F0502020204030204"/>
                <a:cs typeface="+mn-cs"/>
              </a:defRPr>
            </a:pPr>
            <a:r>
              <a:rPr lang="en-ZA" sz="1800" b="1" strike="noStrike" spc="-1">
                <a:solidFill>
                  <a:srgbClr val="000000"/>
                </a:solidFill>
                <a:latin typeface="Calibri" panose="020F0502020204030204"/>
                <a:ea typeface="Calibri" panose="020F0502020204030204"/>
              </a:rPr>
              <a:t>Task Status Summary</a:t>
            </a:r>
            <a:endParaRPr lang="en-ZA" sz="1800" b="1" strike="noStrike" spc="-1">
              <a:solidFill>
                <a:srgbClr val="000000"/>
              </a:solidFill>
              <a:latin typeface="Calibri" panose="020F0502020204030204"/>
              <a:ea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ser>
        <c:dLbls>
          <c:showLegendKey val="0"/>
          <c:showVal val="0"/>
          <c:showCatName val="0"/>
          <c:showSerName val="0"/>
          <c:showPercent val="0"/>
          <c:showBubbleSize val="1"/>
        </c:dLbls>
        <c:gapWidth val="150"/>
        <c:overlap val="0"/>
        <c:axId val="11143471"/>
        <c:axId val="51856083"/>
      </c:barChart>
      <c:catAx>
        <c:axId val="1114347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Calibri" panose="020F0502020204030204"/>
                <a:cs typeface="+mn-cs"/>
              </a:defRPr>
            </a:pPr>
          </a:p>
        </c:txPr>
        <c:crossAx val="51856083"/>
        <c:crosses val="autoZero"/>
        <c:auto val="1"/>
        <c:lblAlgn val="ctr"/>
        <c:lblOffset val="100"/>
        <c:noMultiLvlLbl val="0"/>
      </c:catAx>
      <c:valAx>
        <c:axId val="5185608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Calibri" panose="020F0502020204030204"/>
                <a:cs typeface="+mn-cs"/>
              </a:defRPr>
            </a:pPr>
          </a:p>
        </c:txPr>
        <c:crossAx val="11143471"/>
        <c:crosses val="autoZero"/>
        <c:crossBetween val="between"/>
      </c:valAx>
      <c:spPr>
        <a:noFill/>
        <a:ln w="0">
          <a:noFill/>
        </a:ln>
      </c:spPr>
    </c:plotArea>
    <c:plotVisOnly val="1"/>
    <c:dispBlanksAs val="zero"/>
    <c:showDLblsOverMax val="0"/>
    <c:extLst>
      <c:ext uri="{0b15fc19-7d7d-44ad-8c2d-2c3a37ce22c3}">
        <chartProps xmlns="https://web.wps.cn/et/2018/main" chartId="{c2c99b28-92dc-496c-875c-90ac99351a89}"/>
      </c:ext>
    </c:extLst>
  </c:chart>
  <c:spPr>
    <a:solidFill>
      <a:srgbClr val="FFFFFF"/>
    </a:solidFill>
    <a:ln w="9360">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2</xdr:row>
      <xdr:rowOff>0</xdr:rowOff>
    </xdr:from>
    <xdr:to>
      <xdr:col>12</xdr:col>
      <xdr:colOff>0</xdr:colOff>
      <xdr:row>15</xdr:row>
      <xdr:rowOff>135720</xdr:rowOff>
    </xdr:to>
    <xdr:graphicFrame>
      <xdr:nvGraphicFramePr>
        <xdr:cNvPr id="2" name="Chart 1"/>
        <xdr:cNvGraphicFramePr/>
      </xdr:nvGraphicFramePr>
      <xdr:xfrm>
        <a:off x="8312150" y="431800"/>
        <a:ext cx="3352800" cy="35325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4" name="TaskProgressTable" displayName="TaskProgressTable" ref="A2:M101" totalsRowShown="0">
  <tableColumns count="13">
    <tableColumn id="1" name="Task ID"/>
    <tableColumn id="2" name="Reporting Phase"/>
    <tableColumn id="3" name="Activity"/>
    <tableColumn id="4" name="Task Description"/>
    <tableColumn id="5" name="Assigned Student(s)"/>
    <tableColumn id="6" name="Start Date"/>
    <tableColumn id="7" name="Due Date"/>
    <tableColumn id="8" name="Status"/>
    <tableColumn id="9" name="% Complete"/>
    <tableColumn id="10" name="Evidence / Link"/>
    <tableColumn id="11" name="Verified by Group"/>
    <tableColumn id="12" name="Lecturer Comment"/>
    <tableColumn id="13" name="Progress Flag"/>
  </tableColumns>
  <tableStyleInfo showFirstColumn="0" showLastColumn="0" showRowStripes="1" showColumnStripes="0"/>
</table>
</file>

<file path=xl/tables/table2.xml><?xml version="1.0" encoding="utf-8"?>
<table xmlns="http://schemas.openxmlformats.org/spreadsheetml/2006/main" id="2" name="IndividualContributionsTable" displayName="IndividualContributionsTable" ref="A2:L201" totalsRowShown="0">
  <tableColumns count="12">
    <tableColumn id="1" name="Student Name"/>
    <tableColumn id="2" name="Student Number"/>
    <tableColumn id="3" name="Reporting Phase"/>
    <tableColumn id="4" name="Activity"/>
    <tableColumn id="5" name="Assigned Responsibility"/>
    <tableColumn id="6" name="Work Personally Completed"/>
    <tableColumn id="7" name="Date Completed"/>
    <tableColumn id="8" name="Hours Spent"/>
    <tableColumn id="9" name="Evidence / Link"/>
    <tableColumn id="10" name="Verified by Group"/>
    <tableColumn id="11" name="Verification Date"/>
    <tableColumn id="12" name="Notes"/>
  </tableColumns>
  <tableStyleInfo showFirstColumn="0" showLastColumn="0" showRowStripes="1" showColumnStripes="0"/>
</table>
</file>

<file path=xl/tables/table3.xml><?xml version="1.0" encoding="utf-8"?>
<table xmlns="http://schemas.openxmlformats.org/spreadsheetml/2006/main" id="1" name="ChallengesActionsTable" displayName="ChallengesActionsTable" ref="A2:H101" totalsRowShown="0">
  <tableColumns count="8">
    <tableColumn id="1" name="Date Identified"/>
    <tableColumn id="2" name="Reporting Phase"/>
    <tableColumn id="3" name="Challenge"/>
    <tableColumn id="4" name="Effect on Progress"/>
    <tableColumn id="5" name="Corrective Action"/>
    <tableColumn id="6" name="Responsible Student"/>
    <tableColumn id="7" name="Target Date"/>
    <tableColumn id="8" name="Status"/>
  </tableColumns>
  <tableStyleInfo showFirstColumn="0" showLastColumn="0" showRowStripes="1" showColumnStripes="0"/>
</table>
</file>

<file path=xl/tables/table4.xml><?xml version="1.0" encoding="utf-8"?>
<table xmlns="http://schemas.openxmlformats.org/spreadsheetml/2006/main" id="3" name="StakeholderEngagementTable" displayName="StakeholderEngagementTable" ref="A2:I101" totalsRowShown="0">
  <tableColumns count="9">
    <tableColumn id="1" name="Date"/>
    <tableColumn id="2" name="Reporting Phase"/>
    <tableColumn id="3" name="Type of Engagement"/>
    <tableColumn id="4" name="Purpose"/>
    <tableColumn id="5" name="Students Present"/>
    <tableColumn id="6" name="Stakeholder Present / Role"/>
    <tableColumn id="7" name="Main Findings"/>
    <tableColumn id="8" name="Action Required"/>
    <tableColumn id="9" name="Evidence / Link"/>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Lekhelebana/WIL-Project" TargetMode="External"/><Relationship Id="rId2" Type="http://schemas.openxmlformats.org/officeDocument/2006/relationships/hyperlink" Target="https://supabase.com/dashboard/project/qmcwfnupigrpkmtommcd" TargetMode="Externa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opLeftCell="A10" workbookViewId="0">
      <selection activeCell="A1" sqref="A1:H1"/>
    </sheetView>
  </sheetViews>
  <sheetFormatPr defaultColWidth="9" defaultRowHeight="14.5" outlineLevelCol="7"/>
  <cols>
    <col min="1" max="1" width="24" customWidth="1"/>
    <col min="2" max="2" width="48" customWidth="1"/>
    <col min="3" max="3" width="3" customWidth="1"/>
    <col min="4" max="4" width="10" customWidth="1"/>
    <col min="5" max="5" width="54" customWidth="1"/>
    <col min="6" max="8" width="12" customWidth="1"/>
  </cols>
  <sheetData>
    <row r="1" ht="19.5" customHeight="1" spans="1:8">
      <c r="A1" s="1" t="s">
        <v>0</v>
      </c>
      <c r="B1" s="1"/>
      <c r="C1" s="1"/>
      <c r="D1" s="1"/>
      <c r="E1" s="1"/>
      <c r="F1" s="1"/>
      <c r="G1" s="1"/>
      <c r="H1" s="1"/>
    </row>
    <row r="3" ht="27.75" customHeight="1" spans="1:8">
      <c r="A3" s="18" t="s">
        <v>1</v>
      </c>
      <c r="B3" s="18"/>
      <c r="C3" s="18"/>
      <c r="D3" s="18"/>
      <c r="E3" s="18"/>
      <c r="F3" s="18"/>
      <c r="G3" s="18"/>
      <c r="H3" s="18"/>
    </row>
    <row r="5" spans="1:8">
      <c r="A5" s="2" t="s">
        <v>2</v>
      </c>
      <c r="B5" s="2" t="s">
        <v>3</v>
      </c>
      <c r="D5" s="19" t="s">
        <v>4</v>
      </c>
      <c r="E5" s="19"/>
      <c r="F5" s="19"/>
      <c r="G5" s="19"/>
      <c r="H5" s="19"/>
    </row>
    <row r="6" ht="45" customHeight="1" spans="1:8">
      <c r="A6" s="4" t="s">
        <v>5</v>
      </c>
      <c r="B6" s="6" t="s">
        <v>6</v>
      </c>
      <c r="D6" s="4" t="s">
        <v>7</v>
      </c>
      <c r="E6" s="6" t="s">
        <v>8</v>
      </c>
    </row>
    <row r="7" ht="41.25" customHeight="1" spans="1:8">
      <c r="A7" s="4" t="s">
        <v>9</v>
      </c>
      <c r="B7" s="6" t="s">
        <v>10</v>
      </c>
      <c r="D7" s="4" t="s">
        <v>11</v>
      </c>
      <c r="E7" s="6" t="s">
        <v>12</v>
      </c>
    </row>
    <row r="8" ht="35.25" customHeight="1" spans="1:8">
      <c r="A8" s="4" t="s">
        <v>13</v>
      </c>
      <c r="B8" s="6" t="s">
        <v>14</v>
      </c>
      <c r="D8" s="4" t="s">
        <v>15</v>
      </c>
      <c r="E8" s="6" t="s">
        <v>16</v>
      </c>
    </row>
    <row r="9" ht="34.5" customHeight="1" spans="1:8">
      <c r="A9" s="4" t="s">
        <v>17</v>
      </c>
      <c r="B9" s="6" t="s">
        <v>18</v>
      </c>
      <c r="D9" s="4" t="s">
        <v>19</v>
      </c>
      <c r="E9" s="6" t="s">
        <v>20</v>
      </c>
    </row>
    <row r="10" ht="44.25" customHeight="1" spans="1:8">
      <c r="A10" s="4" t="s">
        <v>21</v>
      </c>
      <c r="B10" s="6" t="s">
        <v>22</v>
      </c>
      <c r="D10" s="4" t="s">
        <v>23</v>
      </c>
      <c r="E10" s="6" t="s">
        <v>24</v>
      </c>
    </row>
    <row r="11" ht="38.25" customHeight="1" spans="1:8">
      <c r="A11" s="4" t="s">
        <v>25</v>
      </c>
      <c r="B11" s="6" t="s">
        <v>26</v>
      </c>
      <c r="D11" s="4" t="s">
        <v>27</v>
      </c>
      <c r="E11" s="6" t="s">
        <v>28</v>
      </c>
    </row>
    <row r="12" ht="27.75" customHeight="1" spans="1:8">
      <c r="A12" s="4" t="s">
        <v>29</v>
      </c>
      <c r="B12" s="6" t="s">
        <v>30</v>
      </c>
    </row>
    <row r="13" spans="1:8">
      <c r="D13" s="19" t="s">
        <v>31</v>
      </c>
      <c r="E13" s="19"/>
      <c r="F13" s="19"/>
      <c r="G13" s="19"/>
      <c r="H13" s="19"/>
    </row>
    <row r="14" ht="27.75" customHeight="1" spans="1:8">
      <c r="D14" s="4" t="s">
        <v>32</v>
      </c>
      <c r="E14" s="6" t="s">
        <v>33</v>
      </c>
    </row>
    <row r="15" spans="1:8">
      <c r="D15" s="4" t="s">
        <v>34</v>
      </c>
      <c r="E15" s="6" t="s">
        <v>35</v>
      </c>
    </row>
    <row r="16" spans="1:8">
      <c r="D16" s="4" t="s">
        <v>36</v>
      </c>
      <c r="E16" s="6" t="s">
        <v>37</v>
      </c>
    </row>
    <row r="17" spans="4:5">
      <c r="D17" s="4" t="s">
        <v>38</v>
      </c>
      <c r="E17" s="6" t="s">
        <v>39</v>
      </c>
    </row>
  </sheetData>
  <mergeCells count="4">
    <mergeCell ref="A1:H1"/>
    <mergeCell ref="A3:H3"/>
    <mergeCell ref="D5:H5"/>
    <mergeCell ref="D13:H13"/>
  </mergeCells>
  <pageMargins left="0.7" right="0.7" top="0.75" bottom="0.75"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topLeftCell="A2" workbookViewId="0">
      <selection activeCell="B11" sqref="B11"/>
    </sheetView>
  </sheetViews>
  <sheetFormatPr defaultColWidth="9" defaultRowHeight="14.5"/>
  <cols>
    <col min="1" max="1" width="27" customWidth="1"/>
    <col min="2" max="2" width="42" customWidth="1"/>
    <col min="3" max="5" width="3" customWidth="1"/>
    <col min="6" max="6" width="26" customWidth="1"/>
    <col min="7" max="7" width="12" customWidth="1"/>
    <col min="8" max="8" width="3" customWidth="1"/>
    <col min="9" max="12" width="12" customWidth="1"/>
  </cols>
  <sheetData>
    <row r="1" ht="19.5" customHeight="1" spans="1:12">
      <c r="A1" s="1" t="s">
        <v>40</v>
      </c>
      <c r="B1" s="1"/>
      <c r="C1" s="1"/>
      <c r="D1" s="1"/>
      <c r="E1" s="1"/>
      <c r="F1" s="1"/>
      <c r="G1" s="1"/>
      <c r="H1" s="1"/>
      <c r="I1" s="1"/>
      <c r="J1" s="1"/>
      <c r="K1" s="1"/>
      <c r="L1" s="1"/>
    </row>
    <row r="3" spans="1:12">
      <c r="A3" s="2" t="s">
        <v>41</v>
      </c>
      <c r="B3" s="2" t="s">
        <v>42</v>
      </c>
      <c r="F3" s="2" t="s">
        <v>43</v>
      </c>
      <c r="G3" s="2" t="s">
        <v>44</v>
      </c>
    </row>
    <row r="4" ht="18" customHeight="1" spans="1:12">
      <c r="A4" s="4" t="s">
        <v>45</v>
      </c>
      <c r="B4" s="5" t="s">
        <v>46</v>
      </c>
      <c r="F4" s="4" t="s">
        <v>47</v>
      </c>
      <c r="G4" s="16">
        <f>COUNTIF('Task Progress'!H2:H101,"Completed")</f>
        <v>11</v>
      </c>
    </row>
    <row r="5" ht="18" customHeight="1" spans="1:12">
      <c r="A5" s="4" t="s">
        <v>48</v>
      </c>
      <c r="B5" s="5" t="s">
        <v>49</v>
      </c>
      <c r="F5" s="4" t="s">
        <v>50</v>
      </c>
      <c r="G5" s="16">
        <f>COUNTIF('Task Progress'!H2:H101,"In Progress")</f>
        <v>0</v>
      </c>
    </row>
    <row r="6" ht="18" customHeight="1" spans="1:12">
      <c r="A6" s="4" t="s">
        <v>51</v>
      </c>
      <c r="B6" s="5" t="s">
        <v>52</v>
      </c>
      <c r="F6" s="4" t="s">
        <v>53</v>
      </c>
      <c r="G6" s="16">
        <f>COUNTIF('Task Progress'!H2:H101,"Not Started")</f>
        <v>0</v>
      </c>
    </row>
    <row r="7" ht="18" customHeight="1" spans="1:12">
      <c r="A7" s="4" t="s">
        <v>54</v>
      </c>
      <c r="B7" s="5" t="s">
        <v>55</v>
      </c>
      <c r="F7" s="4" t="s">
        <v>56</v>
      </c>
      <c r="G7" s="16">
        <f>COUNTIF('Task Progress'!H2:H101,"Delayed")</f>
        <v>0</v>
      </c>
    </row>
    <row r="8" ht="18" customHeight="1" spans="1:12">
      <c r="A8" s="4" t="s">
        <v>57</v>
      </c>
      <c r="B8" s="5" t="s">
        <v>32</v>
      </c>
      <c r="F8" s="4" t="s">
        <v>58</v>
      </c>
      <c r="G8" s="16">
        <f>COUNTIF('Task Progress'!H2:H101,"Blocked")</f>
        <v>0</v>
      </c>
    </row>
    <row r="9" ht="18" customHeight="1" spans="1:12">
      <c r="A9" s="4" t="s">
        <v>59</v>
      </c>
      <c r="B9" s="5" t="s">
        <v>60</v>
      </c>
      <c r="F9" s="4" t="s">
        <v>61</v>
      </c>
      <c r="G9" s="16">
        <f ca="1">COUNTIF('Task Progress'!M2:M101,"Overdue")</f>
        <v>0</v>
      </c>
    </row>
    <row r="10" ht="18" customHeight="1" spans="1:12">
      <c r="A10" s="4" t="s">
        <v>62</v>
      </c>
      <c r="B10" s="5" t="s">
        <v>47</v>
      </c>
    </row>
    <row r="11" ht="18" customHeight="1" spans="1:12">
      <c r="A11" s="4" t="s">
        <v>63</v>
      </c>
      <c r="B11" s="17">
        <f>IFERROR(SUM('Task Progress'!I2:I101)/COUNTIF('Task Progress'!D2:D101,"&lt;&gt;")/100,0)</f>
        <v>0.916666666666667</v>
      </c>
      <c r="F11" s="2" t="s">
        <v>64</v>
      </c>
      <c r="G11" s="2" t="s">
        <v>44</v>
      </c>
    </row>
    <row r="12" ht="31.5" customHeight="1" spans="1:12">
      <c r="A12" s="4" t="s">
        <v>65</v>
      </c>
      <c r="B12" s="5" t="s">
        <v>66</v>
      </c>
      <c r="F12" s="4" t="s">
        <v>67</v>
      </c>
      <c r="G12" s="16">
        <f>COUNTIF('Individual Contributions'!E3:E201,"?*")</f>
        <v>5</v>
      </c>
    </row>
    <row r="13" ht="31.5" customHeight="1" spans="1:12">
      <c r="A13" s="4" t="s">
        <v>68</v>
      </c>
      <c r="B13" s="5" t="s">
        <v>69</v>
      </c>
      <c r="F13" s="4" t="s">
        <v>70</v>
      </c>
      <c r="G13" s="16">
        <f>COUNTIFS('Individual Contributions'!E3:E201,"?*",'Individual Contributions'!J3:J201,"Yes")</f>
        <v>5</v>
      </c>
    </row>
    <row r="14" ht="31.5" customHeight="1" spans="1:12">
      <c r="A14" s="4" t="s">
        <v>71</v>
      </c>
      <c r="B14" s="5" t="s">
        <v>72</v>
      </c>
      <c r="F14" s="4" t="s">
        <v>73</v>
      </c>
      <c r="G14" s="16">
        <f>COUNTIFS('Individual Contributions'!E3:E201,"?*",'Individual Contributions'!J3:J201,"No")</f>
        <v>0</v>
      </c>
    </row>
    <row r="15" spans="1:12">
      <c r="F15" s="4" t="s">
        <v>74</v>
      </c>
      <c r="G15" s="16">
        <f>COUNT('Stakeholder Engagement'!A3:A101)</f>
        <v>2</v>
      </c>
    </row>
  </sheetData>
  <mergeCells count="1">
    <mergeCell ref="A1:L1"/>
  </mergeCells>
  <dataValidations count="2">
    <dataValidation type="list" sqref="B8">
      <formula1>"Unit 1 / Phase 1,Phase 2,Phase 3,Final"</formula1>
    </dataValidation>
    <dataValidation type="list" sqref="B10">
      <formula1>"Not Started,In Progress,Completed,Delayed,Blocked"</formula1>
    </dataValidation>
  </dataValidations>
  <pageMargins left="0.7" right="0.7" top="0.75" bottom="0.75" header="0.511811023622047" footer="0.511811023622047"/>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1"/>
  <sheetViews>
    <sheetView topLeftCell="B2" workbookViewId="0">
      <selection activeCell="J4" sqref="J4"/>
    </sheetView>
  </sheetViews>
  <sheetFormatPr defaultColWidth="9" defaultRowHeight="14.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ht="19.5" customHeight="1" spans="1:13">
      <c r="A1" s="1" t="s">
        <v>75</v>
      </c>
      <c r="B1" s="1"/>
      <c r="C1" s="1"/>
      <c r="D1" s="1"/>
      <c r="E1" s="1"/>
      <c r="F1" s="1"/>
      <c r="G1" s="1"/>
      <c r="H1" s="1"/>
      <c r="I1" s="1"/>
      <c r="J1" s="1"/>
      <c r="K1" s="1"/>
      <c r="L1" s="1"/>
      <c r="M1" s="1"/>
    </row>
    <row r="2" spans="1:13">
      <c r="A2" s="2" t="s">
        <v>76</v>
      </c>
      <c r="B2" s="2" t="s">
        <v>77</v>
      </c>
      <c r="C2" s="2" t="s">
        <v>78</v>
      </c>
      <c r="D2" s="2" t="s">
        <v>79</v>
      </c>
      <c r="E2" s="2" t="s">
        <v>80</v>
      </c>
      <c r="F2" s="2" t="s">
        <v>81</v>
      </c>
      <c r="G2" s="2" t="s">
        <v>82</v>
      </c>
      <c r="H2" s="2" t="s">
        <v>83</v>
      </c>
      <c r="I2" s="2" t="s">
        <v>84</v>
      </c>
      <c r="J2" s="2" t="s">
        <v>85</v>
      </c>
      <c r="K2" s="2" t="s">
        <v>86</v>
      </c>
      <c r="L2" s="2" t="s">
        <v>87</v>
      </c>
      <c r="M2" s="2" t="s">
        <v>88</v>
      </c>
    </row>
    <row r="3" ht="27.75" customHeight="1" spans="1:13">
      <c r="A3" s="9" t="s">
        <v>89</v>
      </c>
      <c r="B3" s="9" t="s">
        <v>32</v>
      </c>
      <c r="C3" s="9" t="s">
        <v>90</v>
      </c>
      <c r="D3" s="9" t="s">
        <v>91</v>
      </c>
      <c r="E3" s="9" t="s">
        <v>92</v>
      </c>
      <c r="F3" s="7">
        <v>46252</v>
      </c>
      <c r="G3" s="7">
        <v>46255</v>
      </c>
      <c r="H3" s="9" t="s">
        <v>47</v>
      </c>
      <c r="I3" s="12">
        <v>100</v>
      </c>
      <c r="J3" s="9" t="s">
        <v>93</v>
      </c>
      <c r="K3" s="9" t="s">
        <v>94</v>
      </c>
      <c r="L3" s="9"/>
      <c r="M3" s="8" t="str">
        <f ca="1" t="shared" ref="M3:M66" si="0">IF(D3="","",IF(H3="Completed","Completed",IF(H3="Blocked","Blocked",IF(H3="Delayed","Delayed",IF(AND(G3&lt;&gt;"",G3&lt;TODAY(),H3&lt;&gt;"Completed"),"Overdue","On Track")))))</f>
        <v>Completed</v>
      </c>
    </row>
    <row r="4" ht="27.75" customHeight="1" spans="1:13">
      <c r="A4" s="9" t="s">
        <v>95</v>
      </c>
      <c r="B4" s="9" t="s">
        <v>32</v>
      </c>
      <c r="C4" s="9" t="s">
        <v>90</v>
      </c>
      <c r="D4" s="9" t="s">
        <v>96</v>
      </c>
      <c r="E4" s="9" t="s">
        <v>97</v>
      </c>
      <c r="F4" s="7">
        <v>46252</v>
      </c>
      <c r="G4" s="7">
        <v>46256</v>
      </c>
      <c r="H4" s="9" t="s">
        <v>47</v>
      </c>
      <c r="I4" s="12">
        <v>100</v>
      </c>
      <c r="J4" s="9" t="s">
        <v>98</v>
      </c>
      <c r="K4" s="9" t="s">
        <v>94</v>
      </c>
      <c r="L4" s="9"/>
      <c r="M4" s="8" t="str">
        <f ca="1" t="shared" si="0"/>
        <v>Completed</v>
      </c>
    </row>
    <row r="5" ht="16.5" customHeight="1" spans="1:13">
      <c r="A5" s="9" t="s">
        <v>99</v>
      </c>
      <c r="B5" s="9" t="s">
        <v>32</v>
      </c>
      <c r="C5" s="9" t="s">
        <v>90</v>
      </c>
      <c r="D5" s="9" t="s">
        <v>100</v>
      </c>
      <c r="E5" s="13" t="s">
        <v>101</v>
      </c>
      <c r="F5" s="7">
        <v>46253</v>
      </c>
      <c r="G5" s="7">
        <v>46256</v>
      </c>
      <c r="H5" s="9" t="s">
        <v>47</v>
      </c>
      <c r="I5" s="12">
        <v>100</v>
      </c>
      <c r="J5" s="9" t="s">
        <v>102</v>
      </c>
      <c r="K5" s="9" t="s">
        <v>94</v>
      </c>
      <c r="L5" s="9"/>
      <c r="M5" s="8" t="str">
        <f ca="1" t="shared" si="0"/>
        <v>Completed</v>
      </c>
    </row>
    <row r="6" ht="27.75" customHeight="1" spans="1:13">
      <c r="A6" s="9" t="s">
        <v>103</v>
      </c>
      <c r="B6" s="9" t="s">
        <v>32</v>
      </c>
      <c r="C6" s="9" t="s">
        <v>104</v>
      </c>
      <c r="D6" s="9" t="s">
        <v>105</v>
      </c>
      <c r="E6" s="9" t="s">
        <v>92</v>
      </c>
      <c r="F6" s="7">
        <v>46254</v>
      </c>
      <c r="G6" s="7">
        <v>46255</v>
      </c>
      <c r="H6" s="9" t="s">
        <v>47</v>
      </c>
      <c r="I6" s="12">
        <v>100</v>
      </c>
      <c r="J6" s="9" t="s">
        <v>106</v>
      </c>
      <c r="K6" s="9" t="s">
        <v>94</v>
      </c>
      <c r="L6" s="9"/>
      <c r="M6" s="8" t="str">
        <f ca="1" t="shared" si="0"/>
        <v>Completed</v>
      </c>
    </row>
    <row r="7" ht="27.75" customHeight="1" spans="1:13">
      <c r="A7" s="9" t="s">
        <v>107</v>
      </c>
      <c r="B7" s="9" t="s">
        <v>32</v>
      </c>
      <c r="C7" s="9" t="s">
        <v>104</v>
      </c>
      <c r="D7" s="9" t="s">
        <v>108</v>
      </c>
      <c r="E7" s="9" t="s">
        <v>109</v>
      </c>
      <c r="F7" s="7">
        <v>46255</v>
      </c>
      <c r="G7" s="7">
        <v>46257</v>
      </c>
      <c r="H7" s="9" t="s">
        <v>47</v>
      </c>
      <c r="I7" s="12">
        <v>100</v>
      </c>
      <c r="J7" s="9" t="s">
        <v>110</v>
      </c>
      <c r="K7" s="9" t="s">
        <v>94</v>
      </c>
      <c r="L7" s="9"/>
      <c r="M7" s="8" t="str">
        <f ca="1" t="shared" si="0"/>
        <v>Completed</v>
      </c>
    </row>
    <row r="8" ht="29" spans="1:13">
      <c r="A8" s="9" t="s">
        <v>111</v>
      </c>
      <c r="B8" s="9" t="s">
        <v>32</v>
      </c>
      <c r="C8" s="9" t="s">
        <v>112</v>
      </c>
      <c r="D8" s="9" t="s">
        <v>113</v>
      </c>
      <c r="E8" s="9" t="s">
        <v>109</v>
      </c>
      <c r="F8" s="7">
        <v>46255</v>
      </c>
      <c r="G8" s="7">
        <v>46259</v>
      </c>
      <c r="H8" s="9" t="s">
        <v>47</v>
      </c>
      <c r="I8" s="12">
        <v>100</v>
      </c>
      <c r="J8" s="9" t="s">
        <v>114</v>
      </c>
      <c r="K8" s="9" t="s">
        <v>94</v>
      </c>
      <c r="L8" s="9"/>
      <c r="M8" s="8" t="str">
        <f ca="1" t="shared" si="0"/>
        <v>Completed</v>
      </c>
    </row>
    <row r="9" ht="27.75" customHeight="1" spans="1:13">
      <c r="A9" s="9" t="s">
        <v>115</v>
      </c>
      <c r="B9" s="9" t="s">
        <v>32</v>
      </c>
      <c r="C9" s="9" t="s">
        <v>112</v>
      </c>
      <c r="D9" s="9" t="s">
        <v>116</v>
      </c>
      <c r="E9" s="9" t="s">
        <v>117</v>
      </c>
      <c r="F9" s="7">
        <v>46257</v>
      </c>
      <c r="G9" s="7">
        <v>46258</v>
      </c>
      <c r="H9" s="9" t="s">
        <v>47</v>
      </c>
      <c r="I9" s="12">
        <v>100</v>
      </c>
      <c r="J9" s="9" t="s">
        <v>118</v>
      </c>
      <c r="K9" s="9" t="s">
        <v>94</v>
      </c>
      <c r="L9" s="9"/>
      <c r="M9" s="8" t="str">
        <f ca="1" t="shared" si="0"/>
        <v>Completed</v>
      </c>
    </row>
    <row r="10" ht="27.75" customHeight="1" spans="1:13">
      <c r="A10" s="9" t="s">
        <v>119</v>
      </c>
      <c r="B10" s="9" t="s">
        <v>32</v>
      </c>
      <c r="C10" s="9" t="s">
        <v>112</v>
      </c>
      <c r="D10" s="9" t="s">
        <v>120</v>
      </c>
      <c r="E10" s="9" t="s">
        <v>121</v>
      </c>
      <c r="F10" s="7">
        <v>46256</v>
      </c>
      <c r="G10" s="7">
        <v>46257</v>
      </c>
      <c r="H10" s="9" t="s">
        <v>47</v>
      </c>
      <c r="I10" s="12">
        <v>100</v>
      </c>
      <c r="J10" s="14" t="s">
        <v>122</v>
      </c>
      <c r="K10" s="9" t="s">
        <v>94</v>
      </c>
      <c r="L10" s="9"/>
      <c r="M10" s="8" t="str">
        <f ca="1" t="shared" si="0"/>
        <v>Completed</v>
      </c>
    </row>
    <row r="11" ht="28.5" customHeight="1" spans="1:13">
      <c r="A11" s="9" t="s">
        <v>123</v>
      </c>
      <c r="B11" s="9" t="s">
        <v>32</v>
      </c>
      <c r="C11" s="9" t="s">
        <v>112</v>
      </c>
      <c r="D11" s="9" t="s">
        <v>124</v>
      </c>
      <c r="E11" s="9" t="s">
        <v>125</v>
      </c>
      <c r="F11" s="7">
        <v>46257</v>
      </c>
      <c r="G11" s="7">
        <v>46258</v>
      </c>
      <c r="H11" s="9" t="s">
        <v>47</v>
      </c>
      <c r="I11" s="12">
        <v>100</v>
      </c>
      <c r="J11" s="15" t="s">
        <v>126</v>
      </c>
      <c r="K11" s="9" t="s">
        <v>94</v>
      </c>
      <c r="L11" s="9"/>
      <c r="M11" s="8" t="str">
        <f ca="1" t="shared" si="0"/>
        <v>Completed</v>
      </c>
    </row>
    <row r="12" ht="27.75" customHeight="1" spans="1:13">
      <c r="A12" s="9" t="s">
        <v>127</v>
      </c>
      <c r="B12" s="9" t="s">
        <v>32</v>
      </c>
      <c r="C12" s="9" t="s">
        <v>112</v>
      </c>
      <c r="D12" s="9" t="s">
        <v>128</v>
      </c>
      <c r="E12" s="9" t="s">
        <v>129</v>
      </c>
      <c r="F12" s="7">
        <v>46258</v>
      </c>
      <c r="G12" s="7">
        <v>46259</v>
      </c>
      <c r="H12" s="9" t="s">
        <v>47</v>
      </c>
      <c r="I12" s="12">
        <v>100</v>
      </c>
      <c r="J12" s="9" t="s">
        <v>130</v>
      </c>
      <c r="K12" s="9" t="s">
        <v>94</v>
      </c>
      <c r="L12" s="9"/>
      <c r="M12" s="8" t="str">
        <f ca="1" t="shared" si="0"/>
        <v>Completed</v>
      </c>
    </row>
    <row r="13" spans="1:13">
      <c r="A13" s="9" t="s">
        <v>131</v>
      </c>
      <c r="B13" s="9" t="s">
        <v>32</v>
      </c>
      <c r="C13" s="9" t="s">
        <v>112</v>
      </c>
      <c r="D13" s="9" t="s">
        <v>132</v>
      </c>
      <c r="E13" s="9" t="s">
        <v>109</v>
      </c>
      <c r="F13" s="7">
        <v>46258</v>
      </c>
      <c r="G13" s="7">
        <v>46259</v>
      </c>
      <c r="H13" s="9" t="s">
        <v>47</v>
      </c>
      <c r="I13" s="12">
        <v>100</v>
      </c>
      <c r="J13" s="9" t="s">
        <v>133</v>
      </c>
      <c r="K13" s="9" t="s">
        <v>94</v>
      </c>
      <c r="L13" s="9"/>
      <c r="M13" s="8" t="str">
        <f ca="1" t="shared" si="0"/>
        <v>Completed</v>
      </c>
    </row>
    <row r="14" spans="1:13">
      <c r="A14" s="9"/>
      <c r="B14" s="9"/>
      <c r="C14" s="9"/>
      <c r="D14" s="9"/>
      <c r="E14" s="9"/>
      <c r="F14" s="7"/>
      <c r="G14" s="7"/>
      <c r="H14" s="9"/>
      <c r="I14" s="12"/>
      <c r="J14" s="9"/>
      <c r="K14" s="9"/>
      <c r="L14" s="9"/>
      <c r="M14" s="8" t="str">
        <f ca="1" t="shared" si="0"/>
        <v/>
      </c>
    </row>
    <row r="15" spans="1:13">
      <c r="A15" s="9"/>
      <c r="B15" s="9"/>
      <c r="C15" s="9"/>
      <c r="D15" s="9"/>
      <c r="E15" s="9"/>
      <c r="F15" s="7"/>
      <c r="G15" s="7"/>
      <c r="H15" s="9"/>
      <c r="I15" s="12"/>
      <c r="J15" s="9"/>
      <c r="K15" s="9"/>
      <c r="L15" s="9"/>
      <c r="M15" s="8" t="str">
        <f ca="1" t="shared" si="0"/>
        <v/>
      </c>
    </row>
    <row r="16" spans="1:13">
      <c r="A16" s="9"/>
      <c r="B16" s="9"/>
      <c r="C16" s="9"/>
      <c r="D16" s="9"/>
      <c r="E16" s="9"/>
      <c r="F16" s="7"/>
      <c r="G16" s="7"/>
      <c r="H16" s="9"/>
      <c r="I16" s="12"/>
      <c r="J16" s="9"/>
      <c r="K16" s="9"/>
      <c r="L16" s="9"/>
      <c r="M16" s="8" t="str">
        <f ca="1" t="shared" si="0"/>
        <v/>
      </c>
    </row>
    <row r="17" spans="1:13">
      <c r="A17" s="9"/>
      <c r="B17" s="9"/>
      <c r="C17" s="9"/>
      <c r="D17" s="9"/>
      <c r="E17" s="9"/>
      <c r="F17" s="7"/>
      <c r="G17" s="7"/>
      <c r="H17" s="9"/>
      <c r="I17" s="12"/>
      <c r="J17" s="9"/>
      <c r="K17" s="9"/>
      <c r="L17" s="9"/>
      <c r="M17" s="8" t="str">
        <f ca="1" t="shared" si="0"/>
        <v/>
      </c>
    </row>
    <row r="18" spans="1:13">
      <c r="A18" s="9"/>
      <c r="B18" s="9"/>
      <c r="C18" s="9"/>
      <c r="D18" s="9"/>
      <c r="E18" s="9"/>
      <c r="F18" s="7"/>
      <c r="G18" s="7"/>
      <c r="H18" s="9"/>
      <c r="I18" s="12"/>
      <c r="J18" s="9"/>
      <c r="K18" s="9"/>
      <c r="L18" s="9"/>
      <c r="M18" s="8" t="str">
        <f ca="1" t="shared" si="0"/>
        <v/>
      </c>
    </row>
    <row r="19" spans="1:13">
      <c r="A19" s="9"/>
      <c r="B19" s="9"/>
      <c r="C19" s="9"/>
      <c r="D19" s="9"/>
      <c r="E19" s="9"/>
      <c r="F19" s="7"/>
      <c r="G19" s="7"/>
      <c r="H19" s="9"/>
      <c r="I19" s="12"/>
      <c r="J19" s="9"/>
      <c r="K19" s="9"/>
      <c r="L19" s="9"/>
      <c r="M19" s="8" t="str">
        <f ca="1" t="shared" si="0"/>
        <v/>
      </c>
    </row>
    <row r="20" spans="1:13">
      <c r="A20" s="9"/>
      <c r="B20" s="9"/>
      <c r="C20" s="9"/>
      <c r="D20" s="9"/>
      <c r="E20" s="9"/>
      <c r="F20" s="7"/>
      <c r="G20" s="7"/>
      <c r="H20" s="9"/>
      <c r="I20" s="12"/>
      <c r="J20" s="9"/>
      <c r="K20" s="9"/>
      <c r="L20" s="9"/>
      <c r="M20" s="8" t="str">
        <f ca="1" t="shared" si="0"/>
        <v/>
      </c>
    </row>
    <row r="21" spans="1:13">
      <c r="A21" s="9"/>
      <c r="B21" s="9"/>
      <c r="C21" s="9"/>
      <c r="D21" s="9"/>
      <c r="E21" s="9"/>
      <c r="F21" s="7"/>
      <c r="G21" s="7"/>
      <c r="H21" s="9"/>
      <c r="I21" s="12"/>
      <c r="J21" s="9"/>
      <c r="K21" s="9"/>
      <c r="L21" s="9"/>
      <c r="M21" s="8" t="str">
        <f ca="1" t="shared" si="0"/>
        <v/>
      </c>
    </row>
    <row r="22" spans="1:13">
      <c r="A22" s="9"/>
      <c r="B22" s="9"/>
      <c r="C22" s="9"/>
      <c r="D22" s="9"/>
      <c r="E22" s="9"/>
      <c r="F22" s="7"/>
      <c r="G22" s="7"/>
      <c r="H22" s="9"/>
      <c r="I22" s="12"/>
      <c r="J22" s="9"/>
      <c r="K22" s="9"/>
      <c r="L22" s="9"/>
      <c r="M22" s="8" t="str">
        <f ca="1" t="shared" si="0"/>
        <v/>
      </c>
    </row>
    <row r="23" spans="1:13">
      <c r="A23" s="9"/>
      <c r="B23" s="9"/>
      <c r="C23" s="9"/>
      <c r="D23" s="9"/>
      <c r="E23" s="9"/>
      <c r="F23" s="7"/>
      <c r="G23" s="7"/>
      <c r="H23" s="9"/>
      <c r="I23" s="12"/>
      <c r="J23" s="9"/>
      <c r="K23" s="9"/>
      <c r="L23" s="9"/>
      <c r="M23" s="8" t="str">
        <f ca="1" t="shared" si="0"/>
        <v/>
      </c>
    </row>
    <row r="24" spans="1:13">
      <c r="A24" s="9"/>
      <c r="B24" s="9"/>
      <c r="C24" s="9"/>
      <c r="D24" s="9"/>
      <c r="E24" s="9"/>
      <c r="F24" s="7"/>
      <c r="G24" s="7"/>
      <c r="H24" s="9"/>
      <c r="I24" s="12"/>
      <c r="J24" s="9"/>
      <c r="K24" s="9"/>
      <c r="L24" s="9"/>
      <c r="M24" s="8" t="str">
        <f ca="1" t="shared" si="0"/>
        <v/>
      </c>
    </row>
    <row r="25" spans="1:13">
      <c r="A25" s="9"/>
      <c r="B25" s="9"/>
      <c r="C25" s="9"/>
      <c r="D25" s="9"/>
      <c r="E25" s="9"/>
      <c r="F25" s="7"/>
      <c r="G25" s="7"/>
      <c r="H25" s="9"/>
      <c r="I25" s="12"/>
      <c r="J25" s="9"/>
      <c r="K25" s="9"/>
      <c r="L25" s="9"/>
      <c r="M25" s="8" t="str">
        <f ca="1" t="shared" si="0"/>
        <v/>
      </c>
    </row>
    <row r="26" spans="1:13">
      <c r="A26" s="9"/>
      <c r="B26" s="9"/>
      <c r="C26" s="9"/>
      <c r="D26" s="9"/>
      <c r="E26" s="9"/>
      <c r="F26" s="7"/>
      <c r="G26" s="7"/>
      <c r="H26" s="9"/>
      <c r="I26" s="12"/>
      <c r="J26" s="9"/>
      <c r="K26" s="9"/>
      <c r="L26" s="9"/>
      <c r="M26" s="8" t="str">
        <f ca="1" t="shared" si="0"/>
        <v/>
      </c>
    </row>
    <row r="27" spans="1:13">
      <c r="A27" s="9"/>
      <c r="B27" s="9"/>
      <c r="C27" s="9"/>
      <c r="D27" s="9"/>
      <c r="E27" s="9"/>
      <c r="F27" s="7"/>
      <c r="G27" s="7"/>
      <c r="H27" s="9"/>
      <c r="I27" s="12"/>
      <c r="J27" s="9"/>
      <c r="K27" s="9"/>
      <c r="L27" s="9"/>
      <c r="M27" s="8" t="str">
        <f ca="1" t="shared" si="0"/>
        <v/>
      </c>
    </row>
    <row r="28" spans="1:13">
      <c r="A28" s="9"/>
      <c r="B28" s="9"/>
      <c r="C28" s="9"/>
      <c r="D28" s="9"/>
      <c r="E28" s="9"/>
      <c r="F28" s="7"/>
      <c r="G28" s="7"/>
      <c r="H28" s="9"/>
      <c r="I28" s="12"/>
      <c r="J28" s="9"/>
      <c r="K28" s="9"/>
      <c r="L28" s="9"/>
      <c r="M28" s="8" t="str">
        <f ca="1" t="shared" si="0"/>
        <v/>
      </c>
    </row>
    <row r="29" spans="1:13">
      <c r="A29" s="9"/>
      <c r="B29" s="9"/>
      <c r="C29" s="9"/>
      <c r="D29" s="9"/>
      <c r="E29" s="9"/>
      <c r="F29" s="7"/>
      <c r="G29" s="7"/>
      <c r="H29" s="9"/>
      <c r="I29" s="12"/>
      <c r="J29" s="9"/>
      <c r="K29" s="9"/>
      <c r="L29" s="9"/>
      <c r="M29" s="8" t="str">
        <f ca="1" t="shared" si="0"/>
        <v/>
      </c>
    </row>
    <row r="30" spans="1:13">
      <c r="A30" s="9"/>
      <c r="B30" s="9"/>
      <c r="C30" s="9"/>
      <c r="D30" s="9"/>
      <c r="E30" s="9"/>
      <c r="F30" s="7"/>
      <c r="G30" s="7"/>
      <c r="H30" s="9"/>
      <c r="I30" s="12"/>
      <c r="J30" s="9"/>
      <c r="K30" s="9"/>
      <c r="L30" s="9"/>
      <c r="M30" s="8" t="str">
        <f ca="1" t="shared" si="0"/>
        <v/>
      </c>
    </row>
    <row r="31" spans="1:13">
      <c r="A31" s="9"/>
      <c r="B31" s="9"/>
      <c r="C31" s="9"/>
      <c r="D31" s="9"/>
      <c r="E31" s="9"/>
      <c r="F31" s="7"/>
      <c r="G31" s="7"/>
      <c r="H31" s="9"/>
      <c r="I31" s="12"/>
      <c r="J31" s="9"/>
      <c r="K31" s="9"/>
      <c r="L31" s="9"/>
      <c r="M31" s="8" t="str">
        <f ca="1" t="shared" si="0"/>
        <v/>
      </c>
    </row>
    <row r="32" spans="1:13">
      <c r="A32" s="9"/>
      <c r="B32" s="9"/>
      <c r="C32" s="9"/>
      <c r="D32" s="9"/>
      <c r="E32" s="9"/>
      <c r="F32" s="7"/>
      <c r="G32" s="7"/>
      <c r="H32" s="9"/>
      <c r="I32" s="12"/>
      <c r="J32" s="9"/>
      <c r="K32" s="9"/>
      <c r="L32" s="9"/>
      <c r="M32" s="8" t="str">
        <f ca="1" t="shared" si="0"/>
        <v/>
      </c>
    </row>
    <row r="33" spans="1:13">
      <c r="A33" s="9"/>
      <c r="B33" s="9"/>
      <c r="C33" s="9"/>
      <c r="D33" s="9"/>
      <c r="E33" s="9"/>
      <c r="F33" s="7"/>
      <c r="G33" s="7"/>
      <c r="H33" s="9"/>
      <c r="I33" s="12"/>
      <c r="J33" s="9"/>
      <c r="K33" s="9"/>
      <c r="L33" s="9"/>
      <c r="M33" s="8" t="str">
        <f ca="1" t="shared" si="0"/>
        <v/>
      </c>
    </row>
    <row r="34" spans="1:13">
      <c r="A34" s="9"/>
      <c r="B34" s="9"/>
      <c r="C34" s="9"/>
      <c r="D34" s="9"/>
      <c r="E34" s="9"/>
      <c r="F34" s="7"/>
      <c r="G34" s="7"/>
      <c r="H34" s="9"/>
      <c r="I34" s="12"/>
      <c r="J34" s="9"/>
      <c r="K34" s="9"/>
      <c r="L34" s="9"/>
      <c r="M34" s="8" t="str">
        <f ca="1" t="shared" si="0"/>
        <v/>
      </c>
    </row>
    <row r="35" spans="1:13">
      <c r="A35" s="9"/>
      <c r="B35" s="9"/>
      <c r="C35" s="9"/>
      <c r="D35" s="9"/>
      <c r="E35" s="9"/>
      <c r="F35" s="7"/>
      <c r="G35" s="7"/>
      <c r="H35" s="9"/>
      <c r="I35" s="12"/>
      <c r="J35" s="9"/>
      <c r="K35" s="9"/>
      <c r="L35" s="9"/>
      <c r="M35" s="8" t="str">
        <f ca="1" t="shared" si="0"/>
        <v/>
      </c>
    </row>
    <row r="36" spans="1:13">
      <c r="A36" s="9"/>
      <c r="B36" s="9"/>
      <c r="C36" s="9"/>
      <c r="D36" s="9"/>
      <c r="E36" s="9"/>
      <c r="F36" s="7"/>
      <c r="G36" s="7"/>
      <c r="H36" s="9"/>
      <c r="I36" s="12"/>
      <c r="J36" s="9"/>
      <c r="K36" s="9"/>
      <c r="L36" s="9"/>
      <c r="M36" s="8" t="str">
        <f ca="1" t="shared" si="0"/>
        <v/>
      </c>
    </row>
    <row r="37" spans="1:13">
      <c r="A37" s="9"/>
      <c r="B37" s="9"/>
      <c r="C37" s="9"/>
      <c r="D37" s="9"/>
      <c r="E37" s="9"/>
      <c r="F37" s="7"/>
      <c r="G37" s="7"/>
      <c r="H37" s="9"/>
      <c r="I37" s="12"/>
      <c r="J37" s="9"/>
      <c r="K37" s="9"/>
      <c r="L37" s="9"/>
      <c r="M37" s="8" t="str">
        <f ca="1" t="shared" si="0"/>
        <v/>
      </c>
    </row>
    <row r="38" spans="1:13">
      <c r="A38" s="9"/>
      <c r="B38" s="9"/>
      <c r="C38" s="9"/>
      <c r="D38" s="9"/>
      <c r="E38" s="9"/>
      <c r="F38" s="7"/>
      <c r="G38" s="7"/>
      <c r="H38" s="9"/>
      <c r="I38" s="12"/>
      <c r="J38" s="9"/>
      <c r="K38" s="9"/>
      <c r="L38" s="9"/>
      <c r="M38" s="8" t="str">
        <f ca="1" t="shared" si="0"/>
        <v/>
      </c>
    </row>
    <row r="39" spans="1:13">
      <c r="A39" s="9"/>
      <c r="B39" s="9"/>
      <c r="C39" s="9"/>
      <c r="D39" s="9"/>
      <c r="E39" s="9"/>
      <c r="F39" s="7"/>
      <c r="G39" s="7"/>
      <c r="H39" s="9"/>
      <c r="I39" s="12"/>
      <c r="J39" s="9"/>
      <c r="K39" s="9"/>
      <c r="L39" s="9"/>
      <c r="M39" s="8" t="str">
        <f ca="1" t="shared" si="0"/>
        <v/>
      </c>
    </row>
    <row r="40" spans="1:13">
      <c r="A40" s="9"/>
      <c r="B40" s="9"/>
      <c r="C40" s="9"/>
      <c r="D40" s="9"/>
      <c r="E40" s="9"/>
      <c r="F40" s="7"/>
      <c r="G40" s="7"/>
      <c r="H40" s="9"/>
      <c r="I40" s="12"/>
      <c r="J40" s="9"/>
      <c r="K40" s="9"/>
      <c r="L40" s="9"/>
      <c r="M40" s="8" t="str">
        <f ca="1" t="shared" si="0"/>
        <v/>
      </c>
    </row>
    <row r="41" spans="1:13">
      <c r="A41" s="9"/>
      <c r="B41" s="9"/>
      <c r="C41" s="9"/>
      <c r="D41" s="9"/>
      <c r="E41" s="9"/>
      <c r="F41" s="7"/>
      <c r="G41" s="7"/>
      <c r="H41" s="9"/>
      <c r="I41" s="12"/>
      <c r="J41" s="9"/>
      <c r="K41" s="9"/>
      <c r="L41" s="9"/>
      <c r="M41" s="8" t="str">
        <f ca="1" t="shared" si="0"/>
        <v/>
      </c>
    </row>
    <row r="42" spans="1:13">
      <c r="A42" s="9"/>
      <c r="B42" s="9"/>
      <c r="C42" s="9"/>
      <c r="D42" s="9"/>
      <c r="E42" s="9"/>
      <c r="F42" s="7"/>
      <c r="G42" s="7"/>
      <c r="H42" s="9"/>
      <c r="I42" s="12"/>
      <c r="J42" s="9"/>
      <c r="K42" s="9"/>
      <c r="L42" s="9"/>
      <c r="M42" s="8" t="str">
        <f ca="1" t="shared" si="0"/>
        <v/>
      </c>
    </row>
    <row r="43" spans="1:13">
      <c r="A43" s="9"/>
      <c r="B43" s="9"/>
      <c r="C43" s="9"/>
      <c r="D43" s="9"/>
      <c r="E43" s="9"/>
      <c r="F43" s="7"/>
      <c r="G43" s="7"/>
      <c r="H43" s="9"/>
      <c r="I43" s="12"/>
      <c r="J43" s="9"/>
      <c r="K43" s="9"/>
      <c r="L43" s="9"/>
      <c r="M43" s="8" t="str">
        <f ca="1" t="shared" si="0"/>
        <v/>
      </c>
    </row>
    <row r="44" spans="1:13">
      <c r="A44" s="9"/>
      <c r="B44" s="9"/>
      <c r="C44" s="9"/>
      <c r="D44" s="9"/>
      <c r="E44" s="9"/>
      <c r="F44" s="7"/>
      <c r="G44" s="7"/>
      <c r="H44" s="9"/>
      <c r="I44" s="12"/>
      <c r="J44" s="9"/>
      <c r="K44" s="9"/>
      <c r="L44" s="9"/>
      <c r="M44" s="8" t="str">
        <f ca="1" t="shared" si="0"/>
        <v/>
      </c>
    </row>
    <row r="45" spans="1:13">
      <c r="A45" s="9"/>
      <c r="B45" s="9"/>
      <c r="C45" s="9"/>
      <c r="D45" s="9"/>
      <c r="E45" s="9"/>
      <c r="F45" s="7"/>
      <c r="G45" s="7"/>
      <c r="H45" s="9"/>
      <c r="I45" s="12"/>
      <c r="J45" s="9"/>
      <c r="K45" s="9"/>
      <c r="L45" s="9"/>
      <c r="M45" s="8" t="str">
        <f ca="1" t="shared" si="0"/>
        <v/>
      </c>
    </row>
    <row r="46" spans="1:13">
      <c r="A46" s="9"/>
      <c r="B46" s="9"/>
      <c r="C46" s="9"/>
      <c r="D46" s="9"/>
      <c r="E46" s="9"/>
      <c r="F46" s="7"/>
      <c r="G46" s="7"/>
      <c r="H46" s="9"/>
      <c r="I46" s="12"/>
      <c r="J46" s="9"/>
      <c r="K46" s="9"/>
      <c r="L46" s="9"/>
      <c r="M46" s="8" t="str">
        <f ca="1" t="shared" si="0"/>
        <v/>
      </c>
    </row>
    <row r="47" spans="1:13">
      <c r="A47" s="9"/>
      <c r="B47" s="9"/>
      <c r="C47" s="9"/>
      <c r="D47" s="9"/>
      <c r="E47" s="9"/>
      <c r="F47" s="7"/>
      <c r="G47" s="7"/>
      <c r="H47" s="9"/>
      <c r="I47" s="12"/>
      <c r="J47" s="9"/>
      <c r="K47" s="9"/>
      <c r="L47" s="9"/>
      <c r="M47" s="8" t="str">
        <f ca="1" t="shared" si="0"/>
        <v/>
      </c>
    </row>
    <row r="48" spans="1:13">
      <c r="A48" s="9"/>
      <c r="B48" s="9"/>
      <c r="C48" s="9"/>
      <c r="D48" s="9"/>
      <c r="E48" s="9"/>
      <c r="F48" s="7"/>
      <c r="G48" s="7"/>
      <c r="H48" s="9"/>
      <c r="I48" s="12"/>
      <c r="J48" s="9"/>
      <c r="K48" s="9"/>
      <c r="L48" s="9"/>
      <c r="M48" s="8" t="str">
        <f ca="1" t="shared" si="0"/>
        <v/>
      </c>
    </row>
    <row r="49" spans="1:13">
      <c r="A49" s="9"/>
      <c r="B49" s="9"/>
      <c r="C49" s="9"/>
      <c r="D49" s="9"/>
      <c r="E49" s="9"/>
      <c r="F49" s="7"/>
      <c r="G49" s="7"/>
      <c r="H49" s="9"/>
      <c r="I49" s="12"/>
      <c r="J49" s="9"/>
      <c r="K49" s="9"/>
      <c r="L49" s="9"/>
      <c r="M49" s="8" t="str">
        <f ca="1" t="shared" si="0"/>
        <v/>
      </c>
    </row>
    <row r="50" spans="1:13">
      <c r="A50" s="9"/>
      <c r="B50" s="9"/>
      <c r="C50" s="9"/>
      <c r="D50" s="9"/>
      <c r="E50" s="9"/>
      <c r="F50" s="7"/>
      <c r="G50" s="7"/>
      <c r="H50" s="9"/>
      <c r="I50" s="12"/>
      <c r="J50" s="9"/>
      <c r="K50" s="9"/>
      <c r="L50" s="9"/>
      <c r="M50" s="8" t="str">
        <f ca="1" t="shared" si="0"/>
        <v/>
      </c>
    </row>
    <row r="51" spans="1:13">
      <c r="A51" s="9"/>
      <c r="B51" s="9"/>
      <c r="C51" s="9"/>
      <c r="D51" s="9"/>
      <c r="E51" s="9"/>
      <c r="F51" s="7"/>
      <c r="G51" s="7"/>
      <c r="H51" s="9"/>
      <c r="I51" s="12"/>
      <c r="J51" s="9"/>
      <c r="K51" s="9"/>
      <c r="L51" s="9"/>
      <c r="M51" s="8" t="str">
        <f ca="1" t="shared" si="0"/>
        <v/>
      </c>
    </row>
    <row r="52" spans="1:13">
      <c r="A52" s="9"/>
      <c r="B52" s="9"/>
      <c r="C52" s="9"/>
      <c r="D52" s="9"/>
      <c r="E52" s="9"/>
      <c r="F52" s="7"/>
      <c r="G52" s="7"/>
      <c r="H52" s="9"/>
      <c r="I52" s="12"/>
      <c r="J52" s="9"/>
      <c r="K52" s="9"/>
      <c r="L52" s="9"/>
      <c r="M52" s="8" t="str">
        <f ca="1" t="shared" si="0"/>
        <v/>
      </c>
    </row>
    <row r="53" spans="1:13">
      <c r="A53" s="9"/>
      <c r="B53" s="9"/>
      <c r="C53" s="9"/>
      <c r="D53" s="9"/>
      <c r="E53" s="9"/>
      <c r="F53" s="7"/>
      <c r="G53" s="7"/>
      <c r="H53" s="9"/>
      <c r="I53" s="12"/>
      <c r="J53" s="9"/>
      <c r="K53" s="9"/>
      <c r="L53" s="9"/>
      <c r="M53" s="8" t="str">
        <f ca="1" t="shared" si="0"/>
        <v/>
      </c>
    </row>
    <row r="54" spans="1:13">
      <c r="A54" s="9"/>
      <c r="B54" s="9"/>
      <c r="C54" s="9"/>
      <c r="D54" s="9"/>
      <c r="E54" s="9"/>
      <c r="F54" s="7"/>
      <c r="G54" s="7"/>
      <c r="H54" s="9"/>
      <c r="I54" s="12"/>
      <c r="J54" s="9"/>
      <c r="K54" s="9"/>
      <c r="L54" s="9"/>
      <c r="M54" s="8" t="str">
        <f ca="1" t="shared" si="0"/>
        <v/>
      </c>
    </row>
    <row r="55" spans="1:13">
      <c r="A55" s="9"/>
      <c r="B55" s="9"/>
      <c r="C55" s="9"/>
      <c r="D55" s="9"/>
      <c r="E55" s="9"/>
      <c r="F55" s="7"/>
      <c r="G55" s="7"/>
      <c r="H55" s="9"/>
      <c r="I55" s="12"/>
      <c r="J55" s="9"/>
      <c r="K55" s="9"/>
      <c r="L55" s="9"/>
      <c r="M55" s="8" t="str">
        <f ca="1" t="shared" si="0"/>
        <v/>
      </c>
    </row>
    <row r="56" spans="1:13">
      <c r="A56" s="9"/>
      <c r="B56" s="9"/>
      <c r="C56" s="9"/>
      <c r="D56" s="9"/>
      <c r="E56" s="9"/>
      <c r="F56" s="7"/>
      <c r="G56" s="7"/>
      <c r="H56" s="9"/>
      <c r="I56" s="12"/>
      <c r="J56" s="9"/>
      <c r="K56" s="9"/>
      <c r="L56" s="9"/>
      <c r="M56" s="8" t="str">
        <f ca="1" t="shared" si="0"/>
        <v/>
      </c>
    </row>
    <row r="57" spans="1:13">
      <c r="A57" s="9"/>
      <c r="B57" s="9"/>
      <c r="C57" s="9"/>
      <c r="D57" s="9"/>
      <c r="E57" s="9"/>
      <c r="F57" s="7"/>
      <c r="G57" s="7"/>
      <c r="H57" s="9"/>
      <c r="I57" s="12"/>
      <c r="J57" s="9"/>
      <c r="K57" s="9"/>
      <c r="L57" s="9"/>
      <c r="M57" s="8" t="str">
        <f ca="1" t="shared" si="0"/>
        <v/>
      </c>
    </row>
    <row r="58" spans="1:13">
      <c r="A58" s="9"/>
      <c r="B58" s="9"/>
      <c r="C58" s="9"/>
      <c r="D58" s="9"/>
      <c r="E58" s="9"/>
      <c r="F58" s="7"/>
      <c r="G58" s="7"/>
      <c r="H58" s="9"/>
      <c r="I58" s="12"/>
      <c r="J58" s="9"/>
      <c r="K58" s="9"/>
      <c r="L58" s="9"/>
      <c r="M58" s="8" t="str">
        <f ca="1" t="shared" si="0"/>
        <v/>
      </c>
    </row>
    <row r="59" spans="1:13">
      <c r="A59" s="9"/>
      <c r="B59" s="9"/>
      <c r="C59" s="9"/>
      <c r="D59" s="9"/>
      <c r="E59" s="9"/>
      <c r="F59" s="7"/>
      <c r="G59" s="7"/>
      <c r="H59" s="9"/>
      <c r="I59" s="12"/>
      <c r="J59" s="9"/>
      <c r="K59" s="9"/>
      <c r="L59" s="9"/>
      <c r="M59" s="8" t="str">
        <f ca="1" t="shared" si="0"/>
        <v/>
      </c>
    </row>
    <row r="60" spans="1:13">
      <c r="A60" s="9"/>
      <c r="B60" s="9"/>
      <c r="C60" s="9"/>
      <c r="D60" s="9"/>
      <c r="E60" s="9"/>
      <c r="F60" s="7"/>
      <c r="G60" s="7"/>
      <c r="H60" s="9"/>
      <c r="I60" s="12"/>
      <c r="J60" s="9"/>
      <c r="K60" s="9"/>
      <c r="L60" s="9"/>
      <c r="M60" s="8" t="str">
        <f ca="1" t="shared" si="0"/>
        <v/>
      </c>
    </row>
    <row r="61" spans="1:13">
      <c r="A61" s="9"/>
      <c r="B61" s="9"/>
      <c r="C61" s="9"/>
      <c r="D61" s="9"/>
      <c r="E61" s="9"/>
      <c r="F61" s="7"/>
      <c r="G61" s="7"/>
      <c r="H61" s="9"/>
      <c r="I61" s="12"/>
      <c r="J61" s="9"/>
      <c r="K61" s="9"/>
      <c r="L61" s="9"/>
      <c r="M61" s="8" t="str">
        <f ca="1" t="shared" si="0"/>
        <v/>
      </c>
    </row>
    <row r="62" spans="1:13">
      <c r="A62" s="9"/>
      <c r="B62" s="9"/>
      <c r="C62" s="9"/>
      <c r="D62" s="9"/>
      <c r="E62" s="9"/>
      <c r="F62" s="7"/>
      <c r="G62" s="7"/>
      <c r="H62" s="9"/>
      <c r="I62" s="12"/>
      <c r="J62" s="9"/>
      <c r="K62" s="9"/>
      <c r="L62" s="9"/>
      <c r="M62" s="8" t="str">
        <f ca="1" t="shared" si="0"/>
        <v/>
      </c>
    </row>
    <row r="63" spans="1:13">
      <c r="A63" s="9"/>
      <c r="B63" s="9"/>
      <c r="C63" s="9"/>
      <c r="D63" s="9"/>
      <c r="E63" s="9"/>
      <c r="F63" s="7"/>
      <c r="G63" s="7"/>
      <c r="H63" s="9"/>
      <c r="I63" s="12"/>
      <c r="J63" s="9"/>
      <c r="K63" s="9"/>
      <c r="L63" s="9"/>
      <c r="M63" s="8" t="str">
        <f ca="1" t="shared" si="0"/>
        <v/>
      </c>
    </row>
    <row r="64" spans="1:13">
      <c r="A64" s="9"/>
      <c r="B64" s="9"/>
      <c r="C64" s="9"/>
      <c r="D64" s="9"/>
      <c r="E64" s="9"/>
      <c r="F64" s="7"/>
      <c r="G64" s="7"/>
      <c r="H64" s="9"/>
      <c r="I64" s="12"/>
      <c r="J64" s="9"/>
      <c r="K64" s="9"/>
      <c r="L64" s="9"/>
      <c r="M64" s="8" t="str">
        <f ca="1" t="shared" si="0"/>
        <v/>
      </c>
    </row>
    <row r="65" spans="1:13">
      <c r="A65" s="9"/>
      <c r="B65" s="9"/>
      <c r="C65" s="9"/>
      <c r="D65" s="9"/>
      <c r="E65" s="9"/>
      <c r="F65" s="7"/>
      <c r="G65" s="7"/>
      <c r="H65" s="9"/>
      <c r="I65" s="12"/>
      <c r="J65" s="9"/>
      <c r="K65" s="9"/>
      <c r="L65" s="9"/>
      <c r="M65" s="8" t="str">
        <f ca="1" t="shared" si="0"/>
        <v/>
      </c>
    </row>
    <row r="66" spans="1:13">
      <c r="A66" s="9"/>
      <c r="B66" s="9"/>
      <c r="C66" s="9"/>
      <c r="D66" s="9"/>
      <c r="E66" s="9"/>
      <c r="F66" s="7"/>
      <c r="G66" s="7"/>
      <c r="H66" s="9"/>
      <c r="I66" s="12"/>
      <c r="J66" s="9"/>
      <c r="K66" s="9"/>
      <c r="L66" s="9"/>
      <c r="M66" s="8" t="str">
        <f ca="1" t="shared" si="0"/>
        <v/>
      </c>
    </row>
    <row r="67" spans="1:13">
      <c r="A67" s="9"/>
      <c r="B67" s="9"/>
      <c r="C67" s="9"/>
      <c r="D67" s="9"/>
      <c r="E67" s="9"/>
      <c r="F67" s="7"/>
      <c r="G67" s="7"/>
      <c r="H67" s="9"/>
      <c r="I67" s="12"/>
      <c r="J67" s="9"/>
      <c r="K67" s="9"/>
      <c r="L67" s="9"/>
      <c r="M67" s="8" t="str">
        <f ca="1" t="shared" ref="M67:M101" si="1">IF(D67="","",IF(H67="Completed","Completed",IF(H67="Blocked","Blocked",IF(H67="Delayed","Delayed",IF(AND(G67&lt;&gt;"",G67&lt;TODAY(),H67&lt;&gt;"Completed"),"Overdue","On Track")))))</f>
        <v/>
      </c>
    </row>
    <row r="68" spans="1:13">
      <c r="A68" s="9"/>
      <c r="B68" s="9"/>
      <c r="C68" s="9"/>
      <c r="D68" s="9"/>
      <c r="E68" s="9"/>
      <c r="F68" s="7"/>
      <c r="G68" s="7"/>
      <c r="H68" s="9"/>
      <c r="I68" s="12"/>
      <c r="J68" s="9"/>
      <c r="K68" s="9"/>
      <c r="L68" s="9"/>
      <c r="M68" s="8" t="str">
        <f ca="1" t="shared" si="1"/>
        <v/>
      </c>
    </row>
    <row r="69" spans="1:13">
      <c r="A69" s="9"/>
      <c r="B69" s="9"/>
      <c r="C69" s="9"/>
      <c r="D69" s="9"/>
      <c r="E69" s="9"/>
      <c r="F69" s="7"/>
      <c r="G69" s="7"/>
      <c r="H69" s="9"/>
      <c r="I69" s="12"/>
      <c r="J69" s="9"/>
      <c r="K69" s="9"/>
      <c r="L69" s="9"/>
      <c r="M69" s="8" t="str">
        <f ca="1" t="shared" si="1"/>
        <v/>
      </c>
    </row>
    <row r="70" spans="1:13">
      <c r="A70" s="9"/>
      <c r="B70" s="9"/>
      <c r="C70" s="9"/>
      <c r="D70" s="9"/>
      <c r="E70" s="9"/>
      <c r="F70" s="7"/>
      <c r="G70" s="7"/>
      <c r="H70" s="9"/>
      <c r="I70" s="12"/>
      <c r="J70" s="9"/>
      <c r="K70" s="9"/>
      <c r="L70" s="9"/>
      <c r="M70" s="8" t="str">
        <f ca="1" t="shared" si="1"/>
        <v/>
      </c>
    </row>
    <row r="71" spans="1:13">
      <c r="A71" s="9"/>
      <c r="B71" s="9"/>
      <c r="C71" s="9"/>
      <c r="D71" s="9"/>
      <c r="E71" s="9"/>
      <c r="F71" s="7"/>
      <c r="G71" s="7"/>
      <c r="H71" s="9"/>
      <c r="I71" s="12"/>
      <c r="J71" s="9"/>
      <c r="K71" s="9"/>
      <c r="L71" s="9"/>
      <c r="M71" s="8" t="str">
        <f ca="1" t="shared" si="1"/>
        <v/>
      </c>
    </row>
    <row r="72" spans="1:13">
      <c r="A72" s="9"/>
      <c r="B72" s="9"/>
      <c r="C72" s="9"/>
      <c r="D72" s="9"/>
      <c r="E72" s="9"/>
      <c r="F72" s="7"/>
      <c r="G72" s="7"/>
      <c r="H72" s="9"/>
      <c r="I72" s="12"/>
      <c r="J72" s="9"/>
      <c r="K72" s="9"/>
      <c r="L72" s="9"/>
      <c r="M72" s="8" t="str">
        <f ca="1" t="shared" si="1"/>
        <v/>
      </c>
    </row>
    <row r="73" spans="1:13">
      <c r="A73" s="9"/>
      <c r="B73" s="9"/>
      <c r="C73" s="9"/>
      <c r="D73" s="9"/>
      <c r="E73" s="9"/>
      <c r="F73" s="7"/>
      <c r="G73" s="7"/>
      <c r="H73" s="9"/>
      <c r="I73" s="12"/>
      <c r="J73" s="9"/>
      <c r="K73" s="9"/>
      <c r="L73" s="9"/>
      <c r="M73" s="8" t="str">
        <f ca="1" t="shared" si="1"/>
        <v/>
      </c>
    </row>
    <row r="74" spans="1:13">
      <c r="A74" s="9"/>
      <c r="B74" s="9"/>
      <c r="C74" s="9"/>
      <c r="D74" s="9"/>
      <c r="E74" s="9"/>
      <c r="F74" s="7"/>
      <c r="G74" s="7"/>
      <c r="H74" s="9"/>
      <c r="I74" s="12"/>
      <c r="J74" s="9"/>
      <c r="K74" s="9"/>
      <c r="L74" s="9"/>
      <c r="M74" s="8" t="str">
        <f ca="1" t="shared" si="1"/>
        <v/>
      </c>
    </row>
    <row r="75" spans="1:13">
      <c r="A75" s="9"/>
      <c r="B75" s="9"/>
      <c r="C75" s="9"/>
      <c r="D75" s="9"/>
      <c r="E75" s="9"/>
      <c r="F75" s="7"/>
      <c r="G75" s="7"/>
      <c r="H75" s="9"/>
      <c r="I75" s="12"/>
      <c r="J75" s="9"/>
      <c r="K75" s="9"/>
      <c r="L75" s="9"/>
      <c r="M75" s="8" t="str">
        <f ca="1" t="shared" si="1"/>
        <v/>
      </c>
    </row>
    <row r="76" spans="1:13">
      <c r="A76" s="9"/>
      <c r="B76" s="9"/>
      <c r="C76" s="9"/>
      <c r="D76" s="9"/>
      <c r="E76" s="9"/>
      <c r="F76" s="7"/>
      <c r="G76" s="7"/>
      <c r="H76" s="9"/>
      <c r="I76" s="12"/>
      <c r="J76" s="9"/>
      <c r="K76" s="9"/>
      <c r="L76" s="9"/>
      <c r="M76" s="8" t="str">
        <f ca="1" t="shared" si="1"/>
        <v/>
      </c>
    </row>
    <row r="77" spans="1:13">
      <c r="A77" s="9"/>
      <c r="B77" s="9"/>
      <c r="C77" s="9"/>
      <c r="D77" s="9"/>
      <c r="E77" s="9"/>
      <c r="F77" s="7"/>
      <c r="G77" s="7"/>
      <c r="H77" s="9"/>
      <c r="I77" s="12"/>
      <c r="J77" s="9"/>
      <c r="K77" s="9"/>
      <c r="L77" s="9"/>
      <c r="M77" s="8" t="str">
        <f ca="1" t="shared" si="1"/>
        <v/>
      </c>
    </row>
    <row r="78" spans="1:13">
      <c r="A78" s="9"/>
      <c r="B78" s="9"/>
      <c r="C78" s="9"/>
      <c r="D78" s="9"/>
      <c r="E78" s="9"/>
      <c r="F78" s="7"/>
      <c r="G78" s="7"/>
      <c r="H78" s="9"/>
      <c r="I78" s="12"/>
      <c r="J78" s="9"/>
      <c r="K78" s="9"/>
      <c r="L78" s="9"/>
      <c r="M78" s="8" t="str">
        <f ca="1" t="shared" si="1"/>
        <v/>
      </c>
    </row>
    <row r="79" spans="1:13">
      <c r="A79" s="9"/>
      <c r="B79" s="9"/>
      <c r="C79" s="9"/>
      <c r="D79" s="9"/>
      <c r="E79" s="9"/>
      <c r="F79" s="7"/>
      <c r="G79" s="7"/>
      <c r="H79" s="9"/>
      <c r="I79" s="12"/>
      <c r="J79" s="9"/>
      <c r="K79" s="9"/>
      <c r="L79" s="9"/>
      <c r="M79" s="8" t="str">
        <f ca="1" t="shared" si="1"/>
        <v/>
      </c>
    </row>
    <row r="80" spans="1:13">
      <c r="A80" s="9"/>
      <c r="B80" s="9"/>
      <c r="C80" s="9"/>
      <c r="D80" s="9"/>
      <c r="E80" s="9"/>
      <c r="F80" s="7"/>
      <c r="G80" s="7"/>
      <c r="H80" s="9"/>
      <c r="I80" s="12"/>
      <c r="J80" s="9"/>
      <c r="K80" s="9"/>
      <c r="L80" s="9"/>
      <c r="M80" s="8" t="str">
        <f ca="1" t="shared" si="1"/>
        <v/>
      </c>
    </row>
    <row r="81" spans="1:13">
      <c r="A81" s="9"/>
      <c r="B81" s="9"/>
      <c r="C81" s="9"/>
      <c r="D81" s="9"/>
      <c r="E81" s="9"/>
      <c r="F81" s="7"/>
      <c r="G81" s="7"/>
      <c r="H81" s="9"/>
      <c r="I81" s="12"/>
      <c r="J81" s="9"/>
      <c r="K81" s="9"/>
      <c r="L81" s="9"/>
      <c r="M81" s="8" t="str">
        <f ca="1" t="shared" si="1"/>
        <v/>
      </c>
    </row>
    <row r="82" spans="1:13">
      <c r="A82" s="9"/>
      <c r="B82" s="9"/>
      <c r="C82" s="9"/>
      <c r="D82" s="9"/>
      <c r="E82" s="9"/>
      <c r="F82" s="7"/>
      <c r="G82" s="7"/>
      <c r="H82" s="9"/>
      <c r="I82" s="12"/>
      <c r="J82" s="9"/>
      <c r="K82" s="9"/>
      <c r="L82" s="9"/>
      <c r="M82" s="8" t="str">
        <f ca="1" t="shared" si="1"/>
        <v/>
      </c>
    </row>
    <row r="83" spans="1:13">
      <c r="A83" s="9"/>
      <c r="B83" s="9"/>
      <c r="C83" s="9"/>
      <c r="D83" s="9"/>
      <c r="E83" s="9"/>
      <c r="F83" s="7"/>
      <c r="G83" s="7"/>
      <c r="H83" s="9"/>
      <c r="I83" s="12"/>
      <c r="J83" s="9"/>
      <c r="K83" s="9"/>
      <c r="L83" s="9"/>
      <c r="M83" s="8" t="str">
        <f ca="1" t="shared" si="1"/>
        <v/>
      </c>
    </row>
    <row r="84" spans="1:13">
      <c r="A84" s="9"/>
      <c r="B84" s="9"/>
      <c r="C84" s="9"/>
      <c r="D84" s="9"/>
      <c r="E84" s="9"/>
      <c r="F84" s="7"/>
      <c r="G84" s="7"/>
      <c r="H84" s="9"/>
      <c r="I84" s="12"/>
      <c r="J84" s="9"/>
      <c r="K84" s="9"/>
      <c r="L84" s="9"/>
      <c r="M84" s="8" t="str">
        <f ca="1" t="shared" si="1"/>
        <v/>
      </c>
    </row>
    <row r="85" spans="1:13">
      <c r="A85" s="9"/>
      <c r="B85" s="9"/>
      <c r="C85" s="9"/>
      <c r="D85" s="9"/>
      <c r="E85" s="9"/>
      <c r="F85" s="7"/>
      <c r="G85" s="7"/>
      <c r="H85" s="9"/>
      <c r="I85" s="12"/>
      <c r="J85" s="9"/>
      <c r="K85" s="9"/>
      <c r="L85" s="9"/>
      <c r="M85" s="8" t="str">
        <f ca="1" t="shared" si="1"/>
        <v/>
      </c>
    </row>
    <row r="86" spans="1:13">
      <c r="A86" s="9"/>
      <c r="B86" s="9"/>
      <c r="C86" s="9"/>
      <c r="D86" s="9"/>
      <c r="E86" s="9"/>
      <c r="F86" s="7"/>
      <c r="G86" s="7"/>
      <c r="H86" s="9"/>
      <c r="I86" s="12"/>
      <c r="J86" s="9"/>
      <c r="K86" s="9"/>
      <c r="L86" s="9"/>
      <c r="M86" s="8" t="str">
        <f ca="1" t="shared" si="1"/>
        <v/>
      </c>
    </row>
    <row r="87" spans="1:13">
      <c r="A87" s="9"/>
      <c r="B87" s="9"/>
      <c r="C87" s="9"/>
      <c r="D87" s="9"/>
      <c r="E87" s="9"/>
      <c r="F87" s="7"/>
      <c r="G87" s="7"/>
      <c r="H87" s="9"/>
      <c r="I87" s="12"/>
      <c r="J87" s="9"/>
      <c r="K87" s="9"/>
      <c r="L87" s="9"/>
      <c r="M87" s="8" t="str">
        <f ca="1" t="shared" si="1"/>
        <v/>
      </c>
    </row>
    <row r="88" spans="1:13">
      <c r="A88" s="9"/>
      <c r="B88" s="9"/>
      <c r="C88" s="9"/>
      <c r="D88" s="9"/>
      <c r="E88" s="9"/>
      <c r="F88" s="7"/>
      <c r="G88" s="7"/>
      <c r="H88" s="9"/>
      <c r="I88" s="12"/>
      <c r="J88" s="9"/>
      <c r="K88" s="9"/>
      <c r="L88" s="9"/>
      <c r="M88" s="8" t="str">
        <f ca="1" t="shared" si="1"/>
        <v/>
      </c>
    </row>
    <row r="89" spans="1:13">
      <c r="A89" s="9"/>
      <c r="B89" s="9"/>
      <c r="C89" s="9"/>
      <c r="D89" s="9"/>
      <c r="E89" s="9"/>
      <c r="F89" s="7"/>
      <c r="G89" s="7"/>
      <c r="H89" s="9"/>
      <c r="I89" s="12"/>
      <c r="J89" s="9"/>
      <c r="K89" s="9"/>
      <c r="L89" s="9"/>
      <c r="M89" s="8" t="str">
        <f ca="1" t="shared" si="1"/>
        <v/>
      </c>
    </row>
    <row r="90" spans="1:13">
      <c r="A90" s="9"/>
      <c r="B90" s="9"/>
      <c r="C90" s="9"/>
      <c r="D90" s="9"/>
      <c r="E90" s="9"/>
      <c r="F90" s="7"/>
      <c r="G90" s="7"/>
      <c r="H90" s="9"/>
      <c r="I90" s="12"/>
      <c r="J90" s="9"/>
      <c r="K90" s="9"/>
      <c r="L90" s="9"/>
      <c r="M90" s="8" t="str">
        <f ca="1" t="shared" si="1"/>
        <v/>
      </c>
    </row>
    <row r="91" spans="1:13">
      <c r="A91" s="9"/>
      <c r="B91" s="9"/>
      <c r="C91" s="9"/>
      <c r="D91" s="9"/>
      <c r="E91" s="9"/>
      <c r="F91" s="7"/>
      <c r="G91" s="7"/>
      <c r="H91" s="9"/>
      <c r="I91" s="12"/>
      <c r="J91" s="9"/>
      <c r="K91" s="9"/>
      <c r="L91" s="9"/>
      <c r="M91" s="8" t="str">
        <f ca="1" t="shared" si="1"/>
        <v/>
      </c>
    </row>
    <row r="92" spans="1:13">
      <c r="A92" s="9"/>
      <c r="B92" s="9"/>
      <c r="C92" s="9"/>
      <c r="D92" s="9"/>
      <c r="E92" s="9"/>
      <c r="F92" s="7"/>
      <c r="G92" s="7"/>
      <c r="H92" s="9"/>
      <c r="I92" s="12"/>
      <c r="J92" s="9"/>
      <c r="K92" s="9"/>
      <c r="L92" s="9"/>
      <c r="M92" s="8" t="str">
        <f ca="1" t="shared" si="1"/>
        <v/>
      </c>
    </row>
    <row r="93" spans="1:13">
      <c r="A93" s="9"/>
      <c r="B93" s="9"/>
      <c r="C93" s="9"/>
      <c r="D93" s="9"/>
      <c r="E93" s="9"/>
      <c r="F93" s="7"/>
      <c r="G93" s="7"/>
      <c r="H93" s="9"/>
      <c r="I93" s="12"/>
      <c r="J93" s="9"/>
      <c r="K93" s="9"/>
      <c r="L93" s="9"/>
      <c r="M93" s="8" t="str">
        <f ca="1" t="shared" si="1"/>
        <v/>
      </c>
    </row>
    <row r="94" spans="1:13">
      <c r="A94" s="9"/>
      <c r="B94" s="9"/>
      <c r="C94" s="9"/>
      <c r="D94" s="9"/>
      <c r="E94" s="9"/>
      <c r="F94" s="7"/>
      <c r="G94" s="7"/>
      <c r="H94" s="9"/>
      <c r="I94" s="12"/>
      <c r="J94" s="9"/>
      <c r="K94" s="9"/>
      <c r="L94" s="9"/>
      <c r="M94" s="8" t="str">
        <f ca="1" t="shared" si="1"/>
        <v/>
      </c>
    </row>
    <row r="95" spans="1:13">
      <c r="A95" s="9"/>
      <c r="B95" s="9"/>
      <c r="C95" s="9"/>
      <c r="D95" s="9"/>
      <c r="E95" s="9"/>
      <c r="F95" s="7"/>
      <c r="G95" s="7"/>
      <c r="H95" s="9"/>
      <c r="I95" s="12"/>
      <c r="J95" s="9"/>
      <c r="K95" s="9"/>
      <c r="L95" s="9"/>
      <c r="M95" s="8" t="str">
        <f ca="1" t="shared" si="1"/>
        <v/>
      </c>
    </row>
    <row r="96" spans="1:13">
      <c r="A96" s="9"/>
      <c r="B96" s="9"/>
      <c r="C96" s="9"/>
      <c r="D96" s="9"/>
      <c r="E96" s="9"/>
      <c r="F96" s="7"/>
      <c r="G96" s="7"/>
      <c r="H96" s="9"/>
      <c r="I96" s="12"/>
      <c r="J96" s="9"/>
      <c r="K96" s="9"/>
      <c r="L96" s="9"/>
      <c r="M96" s="8" t="str">
        <f ca="1" t="shared" si="1"/>
        <v/>
      </c>
    </row>
    <row r="97" spans="1:13">
      <c r="A97" s="9"/>
      <c r="B97" s="9"/>
      <c r="C97" s="9"/>
      <c r="D97" s="9"/>
      <c r="E97" s="9"/>
      <c r="F97" s="7"/>
      <c r="G97" s="7"/>
      <c r="H97" s="9"/>
      <c r="I97" s="12"/>
      <c r="J97" s="9"/>
      <c r="K97" s="9"/>
      <c r="L97" s="9"/>
      <c r="M97" s="8" t="str">
        <f ca="1" t="shared" si="1"/>
        <v/>
      </c>
    </row>
    <row r="98" spans="1:13">
      <c r="A98" s="9"/>
      <c r="B98" s="9"/>
      <c r="C98" s="9"/>
      <c r="D98" s="9"/>
      <c r="E98" s="9"/>
      <c r="F98" s="7"/>
      <c r="G98" s="7"/>
      <c r="H98" s="9"/>
      <c r="I98" s="12"/>
      <c r="J98" s="9"/>
      <c r="K98" s="9"/>
      <c r="L98" s="9"/>
      <c r="M98" s="8" t="str">
        <f ca="1" t="shared" si="1"/>
        <v/>
      </c>
    </row>
    <row r="99" spans="1:13">
      <c r="A99" s="9"/>
      <c r="B99" s="9"/>
      <c r="C99" s="9"/>
      <c r="D99" s="9"/>
      <c r="E99" s="9"/>
      <c r="F99" s="7"/>
      <c r="G99" s="7"/>
      <c r="H99" s="9"/>
      <c r="I99" s="12"/>
      <c r="J99" s="9"/>
      <c r="K99" s="9"/>
      <c r="L99" s="9"/>
      <c r="M99" s="8" t="str">
        <f ca="1" t="shared" si="1"/>
        <v/>
      </c>
    </row>
    <row r="100" spans="1:13">
      <c r="A100" s="9"/>
      <c r="B100" s="9"/>
      <c r="C100" s="9"/>
      <c r="D100" s="9"/>
      <c r="E100" s="9"/>
      <c r="F100" s="7"/>
      <c r="G100" s="7"/>
      <c r="H100" s="9"/>
      <c r="I100" s="12"/>
      <c r="J100" s="9"/>
      <c r="K100" s="9"/>
      <c r="L100" s="9"/>
      <c r="M100" s="8" t="str">
        <f ca="1" t="shared" si="1"/>
        <v/>
      </c>
    </row>
    <row r="101" spans="1:13">
      <c r="A101" s="9"/>
      <c r="B101" s="9"/>
      <c r="C101" s="9"/>
      <c r="D101" s="9"/>
      <c r="E101" s="9"/>
      <c r="F101" s="7"/>
      <c r="G101" s="7"/>
      <c r="H101" s="9"/>
      <c r="I101" s="12"/>
      <c r="J101" s="9"/>
      <c r="K101" s="9"/>
      <c r="L101" s="9"/>
      <c r="M101" s="8" t="str">
        <f ca="1" t="shared" si="1"/>
        <v/>
      </c>
    </row>
  </sheetData>
  <mergeCells count="1">
    <mergeCell ref="A1:M1"/>
  </mergeCells>
  <conditionalFormatting sqref="H3:H101">
    <cfRule type="expression" dxfId="0" priority="2">
      <formula>H3="Completed"</formula>
    </cfRule>
    <cfRule type="expression" dxfId="1" priority="3">
      <formula>H3="In Progress"</formula>
    </cfRule>
    <cfRule type="expression" dxfId="2" priority="4">
      <formula>H3="Delayed"</formula>
    </cfRule>
    <cfRule type="expression" dxfId="3" priority="5">
      <formula>H3="Blocked"</formula>
    </cfRule>
  </conditionalFormatting>
  <conditionalFormatting sqref="I3:I101">
    <cfRule type="dataBar" priority="7">
      <dataBar>
        <cfvo type="min"/>
        <cfvo type="max"/>
        <color rgb="FF1F5A94"/>
      </dataBar>
      <extLst>
        <ext xmlns:x14="http://schemas.microsoft.com/office/spreadsheetml/2009/9/main" uri="{B025F937-C7B1-47D3-B67F-A62EFF666E3E}">
          <x14:id>{82513b03-c980-4dde-82f9-7c38b7d5fb86}</x14:id>
        </ext>
      </extLst>
    </cfRule>
    <cfRule type="dataBar" priority="8">
      <dataBar>
        <cfvo type="min"/>
        <cfvo type="max"/>
        <color rgb="FF1F5A94"/>
      </dataBar>
      <extLst>
        <ext xmlns:x14="http://schemas.microsoft.com/office/spreadsheetml/2009/9/main" uri="{B025F937-C7B1-47D3-B67F-A62EFF666E3E}">
          <x14:id>{8ed28b67-faca-45a0-85ba-a6b693280162}</x14:id>
        </ext>
      </extLst>
    </cfRule>
  </conditionalFormatting>
  <conditionalFormatting sqref="M3:M101">
    <cfRule type="expression" dxfId="4" priority="6">
      <formula>M3="Overdue"</formula>
    </cfRule>
  </conditionalFormatting>
  <dataValidations count="4">
    <dataValidation type="list" sqref="B3:B101">
      <formula1>"Unit 1 / Phase 1,Phase 2,Phase 3,Final"</formula1>
    </dataValidation>
    <dataValidation type="list" sqref="H3:H101">
      <formula1>"Not Started,In Progress,Completed,Delayed,Blocked"</formula1>
    </dataValidation>
    <dataValidation type="list" sqref="I3:I101">
      <formula1>"0,25,50,75,100"</formula1>
    </dataValidation>
    <dataValidation type="list" sqref="K3:K101">
      <formula1>"Yes,No"</formula1>
    </dataValidation>
  </dataValidations>
  <hyperlinks>
    <hyperlink ref="J11" r:id="rId2" display="https://supabase.com/dashboard/project/qmcwfnupigrpkmtommcd"/>
    <hyperlink ref="J10" r:id="rId3" display="https://github.com/Lekhelebana/WIL-Project"/>
  </hyperlinks>
  <pageMargins left="0.7" right="0.7" top="0.75" bottom="0.75" header="0.511811023622047" footer="0.511811023622047"/>
  <pageSetup paperSize="9" orientation="portrait" horizontalDpi="300" verticalDpi="300"/>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2513b03-c980-4dde-82f9-7c38b7d5fb86}">
            <x14:dataBar minLength="10" maxLength="90" axisPosition="none">
              <x14:cfvo type="min"/>
              <x14:cfvo type="max"/>
              <x14:negativeFillColor rgb="FF1F5A94"/>
              <x14:axisColor indexed="65"/>
            </x14:dataBar>
          </x14:cfRule>
          <x14:cfRule type="dataBar" id="{8ed28b67-faca-45a0-85ba-a6b693280162}">
            <x14:dataBar minLength="10" maxLength="90" axisPosition="none">
              <x14:cfvo type="min"/>
              <x14:cfvo type="max"/>
              <x14:negativeFillColor rgb="FF1F5A94"/>
              <x14:axisColor indexed="65"/>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1"/>
  <sheetViews>
    <sheetView topLeftCell="D1" workbookViewId="0">
      <selection activeCell="L3" sqref="L3"/>
    </sheetView>
  </sheetViews>
  <sheetFormatPr defaultColWidth="9" defaultRowHeight="14.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ht="19.5" customHeight="1" spans="1:12">
      <c r="A1" s="1" t="s">
        <v>134</v>
      </c>
      <c r="B1" s="1"/>
      <c r="C1" s="1"/>
      <c r="D1" s="1"/>
      <c r="E1" s="1"/>
      <c r="F1" s="1"/>
      <c r="G1" s="1"/>
      <c r="H1" s="1"/>
      <c r="I1" s="1"/>
      <c r="J1" s="1"/>
      <c r="K1" s="1"/>
      <c r="L1" s="1"/>
    </row>
    <row r="2" ht="27.75" customHeight="1" spans="1:12">
      <c r="A2" s="2" t="s">
        <v>135</v>
      </c>
      <c r="B2" s="2" t="s">
        <v>136</v>
      </c>
      <c r="C2" s="2" t="s">
        <v>77</v>
      </c>
      <c r="D2" s="2" t="s">
        <v>78</v>
      </c>
      <c r="E2" s="2" t="s">
        <v>137</v>
      </c>
      <c r="F2" s="2" t="s">
        <v>138</v>
      </c>
      <c r="G2" s="2" t="s">
        <v>139</v>
      </c>
      <c r="H2" s="2" t="s">
        <v>140</v>
      </c>
      <c r="I2" s="2" t="s">
        <v>85</v>
      </c>
      <c r="J2" s="2" t="s">
        <v>86</v>
      </c>
      <c r="K2" s="2" t="s">
        <v>141</v>
      </c>
      <c r="L2" s="2" t="s">
        <v>142</v>
      </c>
    </row>
    <row r="3" ht="42" customHeight="1" spans="1:12">
      <c r="A3" s="9" t="s">
        <v>143</v>
      </c>
      <c r="B3" s="9">
        <v>221000484</v>
      </c>
      <c r="C3" s="9" t="s">
        <v>32</v>
      </c>
      <c r="D3" s="9" t="s">
        <v>144</v>
      </c>
      <c r="E3" s="9" t="s">
        <v>145</v>
      </c>
      <c r="F3" s="9" t="s">
        <v>146</v>
      </c>
      <c r="G3" s="7" t="s">
        <v>147</v>
      </c>
      <c r="H3" s="11" t="s">
        <v>148</v>
      </c>
      <c r="I3" s="9" t="s">
        <v>149</v>
      </c>
      <c r="J3" s="9" t="s">
        <v>94</v>
      </c>
      <c r="K3" s="7" t="s">
        <v>150</v>
      </c>
      <c r="L3" s="9"/>
    </row>
    <row r="4" ht="27.75" customHeight="1" spans="1:12">
      <c r="A4" s="9" t="s">
        <v>151</v>
      </c>
      <c r="B4" s="9">
        <v>222075924</v>
      </c>
      <c r="C4" s="9" t="s">
        <v>32</v>
      </c>
      <c r="D4" s="9" t="s">
        <v>152</v>
      </c>
      <c r="E4" s="9" t="s">
        <v>153</v>
      </c>
      <c r="F4" s="9" t="s">
        <v>154</v>
      </c>
      <c r="G4" s="7" t="s">
        <v>155</v>
      </c>
      <c r="H4" s="11" t="s">
        <v>156</v>
      </c>
      <c r="I4" s="9" t="s">
        <v>157</v>
      </c>
      <c r="J4" s="9" t="s">
        <v>94</v>
      </c>
      <c r="K4" s="7" t="s">
        <v>150</v>
      </c>
      <c r="L4" s="9"/>
    </row>
    <row r="5" ht="42" customHeight="1" spans="1:12">
      <c r="A5" s="9" t="s">
        <v>158</v>
      </c>
      <c r="B5" s="9">
        <v>220007164</v>
      </c>
      <c r="C5" s="9" t="s">
        <v>32</v>
      </c>
      <c r="D5" s="9" t="s">
        <v>159</v>
      </c>
      <c r="E5" s="9" t="s">
        <v>160</v>
      </c>
      <c r="F5" s="9" t="s">
        <v>161</v>
      </c>
      <c r="G5" s="7" t="s">
        <v>150</v>
      </c>
      <c r="H5" s="11" t="s">
        <v>162</v>
      </c>
      <c r="I5" s="9" t="s">
        <v>163</v>
      </c>
      <c r="J5" s="9" t="s">
        <v>94</v>
      </c>
      <c r="K5" s="7" t="s">
        <v>150</v>
      </c>
      <c r="L5" s="9"/>
    </row>
    <row r="6" ht="55.5" customHeight="1" spans="1:12">
      <c r="A6" s="9" t="s">
        <v>164</v>
      </c>
      <c r="B6" s="9">
        <v>221023182</v>
      </c>
      <c r="C6" s="9" t="s">
        <v>32</v>
      </c>
      <c r="D6" s="9" t="s">
        <v>144</v>
      </c>
      <c r="E6" s="9" t="s">
        <v>165</v>
      </c>
      <c r="F6" s="9" t="s">
        <v>166</v>
      </c>
      <c r="G6" s="7" t="s">
        <v>150</v>
      </c>
      <c r="H6" s="11" t="s">
        <v>167</v>
      </c>
      <c r="I6" s="9" t="s">
        <v>168</v>
      </c>
      <c r="J6" s="9" t="s">
        <v>94</v>
      </c>
      <c r="K6" s="7" t="s">
        <v>150</v>
      </c>
      <c r="L6" s="9"/>
    </row>
    <row r="7" ht="55.5" customHeight="1" spans="1:12">
      <c r="A7" s="9" t="s">
        <v>129</v>
      </c>
      <c r="B7" s="9">
        <v>221027400</v>
      </c>
      <c r="C7" s="9" t="s">
        <v>32</v>
      </c>
      <c r="D7" s="9" t="s">
        <v>144</v>
      </c>
      <c r="E7" s="9" t="s">
        <v>169</v>
      </c>
      <c r="F7" s="9" t="s">
        <v>170</v>
      </c>
      <c r="G7" s="7" t="s">
        <v>171</v>
      </c>
      <c r="H7" s="11" t="s">
        <v>172</v>
      </c>
      <c r="I7" s="9" t="s">
        <v>173</v>
      </c>
      <c r="J7" s="9" t="s">
        <v>94</v>
      </c>
      <c r="K7" s="7" t="s">
        <v>150</v>
      </c>
      <c r="L7" s="9"/>
    </row>
    <row r="8" spans="1:12">
      <c r="A8" s="9"/>
      <c r="B8" s="9"/>
      <c r="C8" s="9"/>
      <c r="D8" s="9"/>
      <c r="E8" s="9"/>
      <c r="F8" s="9"/>
      <c r="G8" s="7"/>
      <c r="H8" s="11"/>
      <c r="I8" s="9"/>
      <c r="J8" s="9"/>
      <c r="K8" s="7"/>
      <c r="L8" s="9"/>
    </row>
    <row r="9" spans="1:12">
      <c r="A9" s="9"/>
      <c r="B9" s="9"/>
      <c r="C9" s="9"/>
      <c r="D9" s="9"/>
      <c r="E9" s="9"/>
      <c r="F9" s="9"/>
      <c r="G9" s="7"/>
      <c r="H9" s="11"/>
      <c r="I9" s="9"/>
      <c r="J9" s="9"/>
      <c r="K9" s="7"/>
      <c r="L9" s="9"/>
    </row>
    <row r="10" spans="1:12">
      <c r="A10" s="9"/>
      <c r="B10" s="9"/>
      <c r="C10" s="9"/>
      <c r="D10" s="9"/>
      <c r="E10" s="9"/>
      <c r="F10" s="9"/>
      <c r="G10" s="7"/>
      <c r="H10" s="11"/>
      <c r="I10" s="9"/>
      <c r="J10" s="9"/>
      <c r="K10" s="7"/>
      <c r="L10" s="9"/>
    </row>
    <row r="11" spans="1:12">
      <c r="A11" s="9"/>
      <c r="B11" s="9"/>
      <c r="C11" s="9"/>
      <c r="D11" s="9"/>
      <c r="E11" s="9"/>
      <c r="F11" s="9"/>
      <c r="G11" s="7"/>
      <c r="H11" s="11"/>
      <c r="I11" s="9"/>
      <c r="J11" s="9"/>
      <c r="K11" s="7"/>
      <c r="L11" s="9"/>
    </row>
    <row r="12" spans="1:12">
      <c r="A12" s="9"/>
      <c r="B12" s="9"/>
      <c r="C12" s="9"/>
      <c r="D12" s="9"/>
      <c r="E12" s="9"/>
      <c r="F12" s="9"/>
      <c r="G12" s="7"/>
      <c r="H12" s="11"/>
      <c r="I12" s="9"/>
      <c r="J12" s="9"/>
      <c r="K12" s="7"/>
      <c r="L12" s="9"/>
    </row>
    <row r="13" spans="1:12">
      <c r="A13" s="9"/>
      <c r="B13" s="9"/>
      <c r="C13" s="9"/>
      <c r="D13" s="9"/>
      <c r="E13" s="9"/>
      <c r="F13" s="9"/>
      <c r="G13" s="7"/>
      <c r="H13" s="11"/>
      <c r="I13" s="9"/>
      <c r="J13" s="9"/>
      <c r="K13" s="7"/>
      <c r="L13" s="9"/>
    </row>
    <row r="14" spans="1:12">
      <c r="A14" s="9"/>
      <c r="B14" s="9"/>
      <c r="C14" s="9"/>
      <c r="D14" s="9"/>
      <c r="E14" s="9"/>
      <c r="F14" s="9"/>
      <c r="G14" s="7"/>
      <c r="H14" s="11"/>
      <c r="I14" s="9"/>
      <c r="J14" s="9"/>
      <c r="K14" s="7"/>
      <c r="L14" s="9"/>
    </row>
    <row r="15" spans="1:12">
      <c r="A15" s="9"/>
      <c r="B15" s="9"/>
      <c r="C15" s="9"/>
      <c r="D15" s="9"/>
      <c r="E15" s="9"/>
      <c r="F15" s="9"/>
      <c r="G15" s="7"/>
      <c r="H15" s="11"/>
      <c r="I15" s="9"/>
      <c r="J15" s="9"/>
      <c r="K15" s="7"/>
      <c r="L15" s="9"/>
    </row>
    <row r="16" spans="1:12">
      <c r="A16" s="9"/>
      <c r="B16" s="9"/>
      <c r="C16" s="9"/>
      <c r="D16" s="9"/>
      <c r="E16" s="9"/>
      <c r="F16" s="9"/>
      <c r="G16" s="7"/>
      <c r="H16" s="11"/>
      <c r="I16" s="9"/>
      <c r="J16" s="9"/>
      <c r="K16" s="7"/>
      <c r="L16" s="9"/>
    </row>
    <row r="17" spans="1:12">
      <c r="A17" s="9"/>
      <c r="B17" s="9"/>
      <c r="C17" s="9"/>
      <c r="D17" s="9"/>
      <c r="E17" s="9"/>
      <c r="F17" s="9"/>
      <c r="G17" s="7"/>
      <c r="H17" s="11"/>
      <c r="I17" s="9"/>
      <c r="J17" s="9"/>
      <c r="K17" s="7"/>
      <c r="L17" s="9"/>
    </row>
    <row r="18" spans="1:12">
      <c r="A18" s="9"/>
      <c r="B18" s="9"/>
      <c r="C18" s="9"/>
      <c r="D18" s="9"/>
      <c r="E18" s="9"/>
      <c r="F18" s="9"/>
      <c r="G18" s="7"/>
      <c r="H18" s="11"/>
      <c r="I18" s="9"/>
      <c r="J18" s="9"/>
      <c r="K18" s="7"/>
      <c r="L18" s="9"/>
    </row>
    <row r="19" spans="1:12">
      <c r="A19" s="9"/>
      <c r="B19" s="9"/>
      <c r="C19" s="9"/>
      <c r="D19" s="9"/>
      <c r="E19" s="9"/>
      <c r="F19" s="9"/>
      <c r="G19" s="7"/>
      <c r="H19" s="11"/>
      <c r="I19" s="9"/>
      <c r="J19" s="9"/>
      <c r="K19" s="7"/>
      <c r="L19" s="9"/>
    </row>
    <row r="20" spans="1:12">
      <c r="A20" s="9"/>
      <c r="B20" s="9"/>
      <c r="C20" s="9"/>
      <c r="D20" s="9"/>
      <c r="E20" s="9"/>
      <c r="F20" s="9"/>
      <c r="G20" s="7"/>
      <c r="H20" s="11"/>
      <c r="I20" s="9"/>
      <c r="J20" s="9"/>
      <c r="K20" s="7"/>
      <c r="L20" s="9"/>
    </row>
    <row r="21" spans="1:12">
      <c r="A21" s="9"/>
      <c r="B21" s="9"/>
      <c r="C21" s="9"/>
      <c r="D21" s="9"/>
      <c r="E21" s="9"/>
      <c r="F21" s="9"/>
      <c r="G21" s="7"/>
      <c r="H21" s="11"/>
      <c r="I21" s="9"/>
      <c r="J21" s="9"/>
      <c r="K21" s="7"/>
      <c r="L21" s="9"/>
    </row>
    <row r="22" spans="1:12">
      <c r="A22" s="9"/>
      <c r="B22" s="9"/>
      <c r="C22" s="9"/>
      <c r="D22" s="9"/>
      <c r="E22" s="9"/>
      <c r="F22" s="9"/>
      <c r="G22" s="7"/>
      <c r="H22" s="11"/>
      <c r="I22" s="9"/>
      <c r="J22" s="9"/>
      <c r="K22" s="7"/>
      <c r="L22" s="9"/>
    </row>
    <row r="23" spans="1:12">
      <c r="A23" s="9"/>
      <c r="B23" s="9"/>
      <c r="C23" s="9"/>
      <c r="D23" s="9"/>
      <c r="E23" s="9"/>
      <c r="F23" s="9"/>
      <c r="G23" s="7"/>
      <c r="H23" s="11"/>
      <c r="I23" s="9"/>
      <c r="J23" s="9"/>
      <c r="K23" s="7"/>
      <c r="L23" s="9"/>
    </row>
    <row r="24" spans="1:12">
      <c r="A24" s="9"/>
      <c r="B24" s="9"/>
      <c r="C24" s="9"/>
      <c r="D24" s="9"/>
      <c r="E24" s="9"/>
      <c r="F24" s="9"/>
      <c r="G24" s="7"/>
      <c r="H24" s="11"/>
      <c r="I24" s="9"/>
      <c r="J24" s="9"/>
      <c r="K24" s="7"/>
      <c r="L24" s="9"/>
    </row>
    <row r="25" spans="1:12">
      <c r="A25" s="9"/>
      <c r="B25" s="9"/>
      <c r="C25" s="9"/>
      <c r="D25" s="9"/>
      <c r="E25" s="9"/>
      <c r="F25" s="9"/>
      <c r="G25" s="7"/>
      <c r="H25" s="11"/>
      <c r="I25" s="9"/>
      <c r="J25" s="9"/>
      <c r="K25" s="7"/>
      <c r="L25" s="9"/>
    </row>
    <row r="26" spans="1:12">
      <c r="A26" s="9"/>
      <c r="B26" s="9"/>
      <c r="C26" s="9"/>
      <c r="D26" s="9"/>
      <c r="E26" s="9"/>
      <c r="F26" s="9"/>
      <c r="G26" s="7"/>
      <c r="H26" s="11"/>
      <c r="I26" s="9"/>
      <c r="J26" s="9"/>
      <c r="K26" s="7"/>
      <c r="L26" s="9"/>
    </row>
    <row r="27" spans="1:12">
      <c r="A27" s="9"/>
      <c r="B27" s="9"/>
      <c r="C27" s="9"/>
      <c r="D27" s="9"/>
      <c r="E27" s="9"/>
      <c r="F27" s="9"/>
      <c r="G27" s="7"/>
      <c r="H27" s="11"/>
      <c r="I27" s="9"/>
      <c r="J27" s="9"/>
      <c r="K27" s="7"/>
      <c r="L27" s="9"/>
    </row>
    <row r="28" spans="1:12">
      <c r="A28" s="9"/>
      <c r="B28" s="9"/>
      <c r="C28" s="9"/>
      <c r="D28" s="9"/>
      <c r="E28" s="9"/>
      <c r="F28" s="9"/>
      <c r="G28" s="7"/>
      <c r="H28" s="11"/>
      <c r="I28" s="9"/>
      <c r="J28" s="9"/>
      <c r="K28" s="7"/>
      <c r="L28" s="9"/>
    </row>
    <row r="29" spans="1:12">
      <c r="A29" s="9"/>
      <c r="B29" s="9"/>
      <c r="C29" s="9"/>
      <c r="D29" s="9"/>
      <c r="E29" s="9"/>
      <c r="F29" s="9"/>
      <c r="G29" s="7"/>
      <c r="H29" s="11"/>
      <c r="I29" s="9"/>
      <c r="J29" s="9"/>
      <c r="K29" s="7"/>
      <c r="L29" s="9"/>
    </row>
    <row r="30" spans="1:12">
      <c r="A30" s="9"/>
      <c r="B30" s="9"/>
      <c r="C30" s="9"/>
      <c r="D30" s="9"/>
      <c r="E30" s="9"/>
      <c r="F30" s="9"/>
      <c r="G30" s="7"/>
      <c r="H30" s="11"/>
      <c r="I30" s="9"/>
      <c r="J30" s="9"/>
      <c r="K30" s="7"/>
      <c r="L30" s="9"/>
    </row>
    <row r="31" spans="1:12">
      <c r="A31" s="9"/>
      <c r="B31" s="9"/>
      <c r="C31" s="9"/>
      <c r="D31" s="9"/>
      <c r="E31" s="9"/>
      <c r="F31" s="9"/>
      <c r="G31" s="7"/>
      <c r="H31" s="11"/>
      <c r="I31" s="9"/>
      <c r="J31" s="9"/>
      <c r="K31" s="7"/>
      <c r="L31" s="9"/>
    </row>
    <row r="32" spans="1:12">
      <c r="A32" s="9"/>
      <c r="B32" s="9"/>
      <c r="C32" s="9"/>
      <c r="D32" s="9"/>
      <c r="E32" s="9"/>
      <c r="F32" s="9"/>
      <c r="G32" s="7"/>
      <c r="H32" s="11"/>
      <c r="I32" s="9"/>
      <c r="J32" s="9"/>
      <c r="K32" s="7"/>
      <c r="L32" s="9"/>
    </row>
    <row r="33" spans="1:12">
      <c r="A33" s="9"/>
      <c r="B33" s="9"/>
      <c r="C33" s="9"/>
      <c r="D33" s="9"/>
      <c r="E33" s="9"/>
      <c r="F33" s="9"/>
      <c r="G33" s="7"/>
      <c r="H33" s="11"/>
      <c r="I33" s="9"/>
      <c r="J33" s="9"/>
      <c r="K33" s="7"/>
      <c r="L33" s="9"/>
    </row>
    <row r="34" spans="1:12">
      <c r="A34" s="9"/>
      <c r="B34" s="9"/>
      <c r="C34" s="9"/>
      <c r="D34" s="9"/>
      <c r="E34" s="9"/>
      <c r="F34" s="9"/>
      <c r="G34" s="7"/>
      <c r="H34" s="11"/>
      <c r="I34" s="9"/>
      <c r="J34" s="9"/>
      <c r="K34" s="7"/>
      <c r="L34" s="9"/>
    </row>
    <row r="35" spans="1:12">
      <c r="A35" s="9"/>
      <c r="B35" s="9"/>
      <c r="C35" s="9"/>
      <c r="D35" s="9"/>
      <c r="E35" s="9"/>
      <c r="F35" s="9"/>
      <c r="G35" s="7"/>
      <c r="H35" s="11"/>
      <c r="I35" s="9"/>
      <c r="J35" s="9"/>
      <c r="K35" s="7"/>
      <c r="L35" s="9"/>
    </row>
    <row r="36" spans="1:12">
      <c r="A36" s="9"/>
      <c r="B36" s="9"/>
      <c r="C36" s="9"/>
      <c r="D36" s="9"/>
      <c r="E36" s="9"/>
      <c r="F36" s="9"/>
      <c r="G36" s="7"/>
      <c r="H36" s="11"/>
      <c r="I36" s="9"/>
      <c r="J36" s="9"/>
      <c r="K36" s="7"/>
      <c r="L36" s="9"/>
    </row>
    <row r="37" spans="1:12">
      <c r="A37" s="9"/>
      <c r="B37" s="9"/>
      <c r="C37" s="9"/>
      <c r="D37" s="9"/>
      <c r="E37" s="9"/>
      <c r="F37" s="9"/>
      <c r="G37" s="7"/>
      <c r="H37" s="11"/>
      <c r="I37" s="9"/>
      <c r="J37" s="9"/>
      <c r="K37" s="7"/>
      <c r="L37" s="9"/>
    </row>
    <row r="38" spans="1:12">
      <c r="A38" s="9"/>
      <c r="B38" s="9"/>
      <c r="C38" s="9"/>
      <c r="D38" s="9"/>
      <c r="E38" s="9"/>
      <c r="F38" s="9"/>
      <c r="G38" s="7"/>
      <c r="H38" s="11"/>
      <c r="I38" s="9"/>
      <c r="J38" s="9"/>
      <c r="K38" s="7"/>
      <c r="L38" s="9"/>
    </row>
    <row r="39" spans="1:12">
      <c r="A39" s="9"/>
      <c r="B39" s="9"/>
      <c r="C39" s="9"/>
      <c r="D39" s="9"/>
      <c r="E39" s="9"/>
      <c r="F39" s="9"/>
      <c r="G39" s="7"/>
      <c r="H39" s="11"/>
      <c r="I39" s="9"/>
      <c r="J39" s="9"/>
      <c r="K39" s="7"/>
      <c r="L39" s="9"/>
    </row>
    <row r="40" spans="1:12">
      <c r="A40" s="9"/>
      <c r="B40" s="9"/>
      <c r="C40" s="9"/>
      <c r="D40" s="9"/>
      <c r="E40" s="9"/>
      <c r="F40" s="9"/>
      <c r="G40" s="7"/>
      <c r="H40" s="11"/>
      <c r="I40" s="9"/>
      <c r="J40" s="9"/>
      <c r="K40" s="7"/>
      <c r="L40" s="9"/>
    </row>
    <row r="41" spans="1:12">
      <c r="A41" s="9"/>
      <c r="B41" s="9"/>
      <c r="C41" s="9"/>
      <c r="D41" s="9"/>
      <c r="E41" s="9"/>
      <c r="F41" s="9"/>
      <c r="G41" s="7"/>
      <c r="H41" s="11"/>
      <c r="I41" s="9"/>
      <c r="J41" s="9"/>
      <c r="K41" s="7"/>
      <c r="L41" s="9"/>
    </row>
    <row r="42" spans="1:12">
      <c r="A42" s="9"/>
      <c r="B42" s="9"/>
      <c r="C42" s="9"/>
      <c r="D42" s="9"/>
      <c r="E42" s="9"/>
      <c r="F42" s="9"/>
      <c r="G42" s="7"/>
      <c r="H42" s="11"/>
      <c r="I42" s="9"/>
      <c r="J42" s="9"/>
      <c r="K42" s="7"/>
      <c r="L42" s="9"/>
    </row>
    <row r="43" spans="1:12">
      <c r="A43" s="9"/>
      <c r="B43" s="9"/>
      <c r="C43" s="9"/>
      <c r="D43" s="9"/>
      <c r="E43" s="9"/>
      <c r="F43" s="9"/>
      <c r="G43" s="7"/>
      <c r="H43" s="11"/>
      <c r="I43" s="9"/>
      <c r="J43" s="9"/>
      <c r="K43" s="7"/>
      <c r="L43" s="9"/>
    </row>
    <row r="44" spans="1:12">
      <c r="A44" s="9"/>
      <c r="B44" s="9"/>
      <c r="C44" s="9"/>
      <c r="D44" s="9"/>
      <c r="E44" s="9"/>
      <c r="F44" s="9"/>
      <c r="G44" s="7"/>
      <c r="H44" s="11"/>
      <c r="I44" s="9"/>
      <c r="J44" s="9"/>
      <c r="K44" s="7"/>
      <c r="L44" s="9"/>
    </row>
    <row r="45" spans="1:12">
      <c r="A45" s="9"/>
      <c r="B45" s="9"/>
      <c r="C45" s="9"/>
      <c r="D45" s="9"/>
      <c r="E45" s="9"/>
      <c r="F45" s="9"/>
      <c r="G45" s="7"/>
      <c r="H45" s="11"/>
      <c r="I45" s="9"/>
      <c r="J45" s="9"/>
      <c r="K45" s="7"/>
      <c r="L45" s="9"/>
    </row>
    <row r="46" spans="1:12">
      <c r="A46" s="9"/>
      <c r="B46" s="9"/>
      <c r="C46" s="9"/>
      <c r="D46" s="9"/>
      <c r="E46" s="9"/>
      <c r="F46" s="9"/>
      <c r="G46" s="7"/>
      <c r="H46" s="11"/>
      <c r="I46" s="9"/>
      <c r="J46" s="9"/>
      <c r="K46" s="7"/>
      <c r="L46" s="9"/>
    </row>
    <row r="47" spans="1:12">
      <c r="A47" s="9"/>
      <c r="B47" s="9"/>
      <c r="C47" s="9"/>
      <c r="D47" s="9"/>
      <c r="E47" s="9"/>
      <c r="F47" s="9"/>
      <c r="G47" s="7"/>
      <c r="H47" s="11"/>
      <c r="I47" s="9"/>
      <c r="J47" s="9"/>
      <c r="K47" s="7"/>
      <c r="L47" s="9"/>
    </row>
    <row r="48" spans="1:12">
      <c r="A48" s="9"/>
      <c r="B48" s="9"/>
      <c r="C48" s="9"/>
      <c r="D48" s="9"/>
      <c r="E48" s="9"/>
      <c r="F48" s="9"/>
      <c r="G48" s="7"/>
      <c r="H48" s="11"/>
      <c r="I48" s="9"/>
      <c r="J48" s="9"/>
      <c r="K48" s="7"/>
      <c r="L48" s="9"/>
    </row>
    <row r="49" spans="1:12">
      <c r="A49" s="9"/>
      <c r="B49" s="9"/>
      <c r="C49" s="9"/>
      <c r="D49" s="9"/>
      <c r="E49" s="9"/>
      <c r="F49" s="9"/>
      <c r="G49" s="7"/>
      <c r="H49" s="11"/>
      <c r="I49" s="9"/>
      <c r="J49" s="9"/>
      <c r="K49" s="7"/>
      <c r="L49" s="9"/>
    </row>
    <row r="50" spans="1:12">
      <c r="A50" s="9"/>
      <c r="B50" s="9"/>
      <c r="C50" s="9"/>
      <c r="D50" s="9"/>
      <c r="E50" s="9"/>
      <c r="F50" s="9"/>
      <c r="G50" s="7"/>
      <c r="H50" s="11"/>
      <c r="I50" s="9"/>
      <c r="J50" s="9"/>
      <c r="K50" s="7"/>
      <c r="L50" s="9"/>
    </row>
    <row r="51" spans="1:12">
      <c r="A51" s="9"/>
      <c r="B51" s="9"/>
      <c r="C51" s="9"/>
      <c r="D51" s="9"/>
      <c r="E51" s="9"/>
      <c r="F51" s="9"/>
      <c r="G51" s="7"/>
      <c r="H51" s="11"/>
      <c r="I51" s="9"/>
      <c r="J51" s="9"/>
      <c r="K51" s="7"/>
      <c r="L51" s="9"/>
    </row>
    <row r="52" spans="1:12">
      <c r="A52" s="9"/>
      <c r="B52" s="9"/>
      <c r="C52" s="9"/>
      <c r="D52" s="9"/>
      <c r="E52" s="9"/>
      <c r="F52" s="9"/>
      <c r="G52" s="7"/>
      <c r="H52" s="11"/>
      <c r="I52" s="9"/>
      <c r="J52" s="9"/>
      <c r="K52" s="7"/>
      <c r="L52" s="9"/>
    </row>
    <row r="53" spans="1:12">
      <c r="A53" s="9"/>
      <c r="B53" s="9"/>
      <c r="C53" s="9"/>
      <c r="D53" s="9"/>
      <c r="E53" s="9"/>
      <c r="F53" s="9"/>
      <c r="G53" s="7"/>
      <c r="H53" s="11"/>
      <c r="I53" s="9"/>
      <c r="J53" s="9"/>
      <c r="K53" s="7"/>
      <c r="L53" s="9"/>
    </row>
    <row r="54" spans="1:12">
      <c r="A54" s="9"/>
      <c r="B54" s="9"/>
      <c r="C54" s="9"/>
      <c r="D54" s="9"/>
      <c r="E54" s="9"/>
      <c r="F54" s="9"/>
      <c r="G54" s="7"/>
      <c r="H54" s="11"/>
      <c r="I54" s="9"/>
      <c r="J54" s="9"/>
      <c r="K54" s="7"/>
      <c r="L54" s="9"/>
    </row>
    <row r="55" spans="1:12">
      <c r="A55" s="9"/>
      <c r="B55" s="9"/>
      <c r="C55" s="9"/>
      <c r="D55" s="9"/>
      <c r="E55" s="9"/>
      <c r="F55" s="9"/>
      <c r="G55" s="7"/>
      <c r="H55" s="11"/>
      <c r="I55" s="9"/>
      <c r="J55" s="9"/>
      <c r="K55" s="7"/>
      <c r="L55" s="9"/>
    </row>
    <row r="56" spans="1:12">
      <c r="A56" s="9"/>
      <c r="B56" s="9"/>
      <c r="C56" s="9"/>
      <c r="D56" s="9"/>
      <c r="E56" s="9"/>
      <c r="F56" s="9"/>
      <c r="G56" s="7"/>
      <c r="H56" s="11"/>
      <c r="I56" s="9"/>
      <c r="J56" s="9"/>
      <c r="K56" s="7"/>
      <c r="L56" s="9"/>
    </row>
    <row r="57" spans="1:12">
      <c r="A57" s="9"/>
      <c r="B57" s="9"/>
      <c r="C57" s="9"/>
      <c r="D57" s="9"/>
      <c r="E57" s="9"/>
      <c r="F57" s="9"/>
      <c r="G57" s="7"/>
      <c r="H57" s="11"/>
      <c r="I57" s="9"/>
      <c r="J57" s="9"/>
      <c r="K57" s="7"/>
      <c r="L57" s="9"/>
    </row>
    <row r="58" spans="1:12">
      <c r="A58" s="9"/>
      <c r="B58" s="9"/>
      <c r="C58" s="9"/>
      <c r="D58" s="9"/>
      <c r="E58" s="9"/>
      <c r="F58" s="9"/>
      <c r="G58" s="7"/>
      <c r="H58" s="11"/>
      <c r="I58" s="9"/>
      <c r="J58" s="9"/>
      <c r="K58" s="7"/>
      <c r="L58" s="9"/>
    </row>
    <row r="59" spans="1:12">
      <c r="A59" s="9"/>
      <c r="B59" s="9"/>
      <c r="C59" s="9"/>
      <c r="D59" s="9"/>
      <c r="E59" s="9"/>
      <c r="F59" s="9"/>
      <c r="G59" s="7"/>
      <c r="H59" s="11"/>
      <c r="I59" s="9"/>
      <c r="J59" s="9"/>
      <c r="K59" s="7"/>
      <c r="L59" s="9"/>
    </row>
    <row r="60" spans="1:12">
      <c r="A60" s="9"/>
      <c r="B60" s="9"/>
      <c r="C60" s="9"/>
      <c r="D60" s="9"/>
      <c r="E60" s="9"/>
      <c r="F60" s="9"/>
      <c r="G60" s="7"/>
      <c r="H60" s="11"/>
      <c r="I60" s="9"/>
      <c r="J60" s="9"/>
      <c r="K60" s="7"/>
      <c r="L60" s="9"/>
    </row>
    <row r="61" spans="1:12">
      <c r="A61" s="9"/>
      <c r="B61" s="9"/>
      <c r="C61" s="9"/>
      <c r="D61" s="9"/>
      <c r="E61" s="9"/>
      <c r="F61" s="9"/>
      <c r="G61" s="7"/>
      <c r="H61" s="11"/>
      <c r="I61" s="9"/>
      <c r="J61" s="9"/>
      <c r="K61" s="7"/>
      <c r="L61" s="9"/>
    </row>
    <row r="62" spans="1:12">
      <c r="A62" s="9"/>
      <c r="B62" s="9"/>
      <c r="C62" s="9"/>
      <c r="D62" s="9"/>
      <c r="E62" s="9"/>
      <c r="F62" s="9"/>
      <c r="G62" s="7"/>
      <c r="H62" s="11"/>
      <c r="I62" s="9"/>
      <c r="J62" s="9"/>
      <c r="K62" s="7"/>
      <c r="L62" s="9"/>
    </row>
    <row r="63" spans="1:12">
      <c r="A63" s="9"/>
      <c r="B63" s="9"/>
      <c r="C63" s="9"/>
      <c r="D63" s="9"/>
      <c r="E63" s="9"/>
      <c r="F63" s="9"/>
      <c r="G63" s="7"/>
      <c r="H63" s="11"/>
      <c r="I63" s="9"/>
      <c r="J63" s="9"/>
      <c r="K63" s="7"/>
      <c r="L63" s="9"/>
    </row>
    <row r="64" spans="1:12">
      <c r="A64" s="9"/>
      <c r="B64" s="9"/>
      <c r="C64" s="9"/>
      <c r="D64" s="9"/>
      <c r="E64" s="9"/>
      <c r="F64" s="9"/>
      <c r="G64" s="7"/>
      <c r="H64" s="11"/>
      <c r="I64" s="9"/>
      <c r="J64" s="9"/>
      <c r="K64" s="7"/>
      <c r="L64" s="9"/>
    </row>
    <row r="65" spans="1:12">
      <c r="A65" s="9"/>
      <c r="B65" s="9"/>
      <c r="C65" s="9"/>
      <c r="D65" s="9"/>
      <c r="E65" s="9"/>
      <c r="F65" s="9"/>
      <c r="G65" s="7"/>
      <c r="H65" s="11"/>
      <c r="I65" s="9"/>
      <c r="J65" s="9"/>
      <c r="K65" s="7"/>
      <c r="L65" s="9"/>
    </row>
    <row r="66" spans="1:12">
      <c r="A66" s="9"/>
      <c r="B66" s="9"/>
      <c r="C66" s="9"/>
      <c r="D66" s="9"/>
      <c r="E66" s="9"/>
      <c r="F66" s="9"/>
      <c r="G66" s="7"/>
      <c r="H66" s="11"/>
      <c r="I66" s="9"/>
      <c r="J66" s="9"/>
      <c r="K66" s="7"/>
      <c r="L66" s="9"/>
    </row>
    <row r="67" spans="1:12">
      <c r="A67" s="9"/>
      <c r="B67" s="9"/>
      <c r="C67" s="9"/>
      <c r="D67" s="9"/>
      <c r="E67" s="9"/>
      <c r="F67" s="9"/>
      <c r="G67" s="7"/>
      <c r="H67" s="11"/>
      <c r="I67" s="9"/>
      <c r="J67" s="9"/>
      <c r="K67" s="7"/>
      <c r="L67" s="9"/>
    </row>
    <row r="68" spans="1:12">
      <c r="A68" s="9"/>
      <c r="B68" s="9"/>
      <c r="C68" s="9"/>
      <c r="D68" s="9"/>
      <c r="E68" s="9"/>
      <c r="F68" s="9"/>
      <c r="G68" s="7"/>
      <c r="H68" s="11"/>
      <c r="I68" s="9"/>
      <c r="J68" s="9"/>
      <c r="K68" s="7"/>
      <c r="L68" s="9"/>
    </row>
    <row r="69" spans="1:12">
      <c r="A69" s="9"/>
      <c r="B69" s="9"/>
      <c r="C69" s="9"/>
      <c r="D69" s="9"/>
      <c r="E69" s="9"/>
      <c r="F69" s="9"/>
      <c r="G69" s="7"/>
      <c r="H69" s="11"/>
      <c r="I69" s="9"/>
      <c r="J69" s="9"/>
      <c r="K69" s="7"/>
      <c r="L69" s="9"/>
    </row>
    <row r="70" spans="1:12">
      <c r="A70" s="9"/>
      <c r="B70" s="9"/>
      <c r="C70" s="9"/>
      <c r="D70" s="9"/>
      <c r="E70" s="9"/>
      <c r="F70" s="9"/>
      <c r="G70" s="7"/>
      <c r="H70" s="11"/>
      <c r="I70" s="9"/>
      <c r="J70" s="9"/>
      <c r="K70" s="7"/>
      <c r="L70" s="9"/>
    </row>
    <row r="71" spans="1:12">
      <c r="A71" s="9"/>
      <c r="B71" s="9"/>
      <c r="C71" s="9"/>
      <c r="D71" s="9"/>
      <c r="E71" s="9"/>
      <c r="F71" s="9"/>
      <c r="G71" s="7"/>
      <c r="H71" s="11"/>
      <c r="I71" s="9"/>
      <c r="J71" s="9"/>
      <c r="K71" s="7"/>
      <c r="L71" s="9"/>
    </row>
    <row r="72" spans="1:12">
      <c r="A72" s="9"/>
      <c r="B72" s="9"/>
      <c r="C72" s="9"/>
      <c r="D72" s="9"/>
      <c r="E72" s="9"/>
      <c r="F72" s="9"/>
      <c r="G72" s="7"/>
      <c r="H72" s="11"/>
      <c r="I72" s="9"/>
      <c r="J72" s="9"/>
      <c r="K72" s="7"/>
      <c r="L72" s="9"/>
    </row>
    <row r="73" spans="1:12">
      <c r="A73" s="9"/>
      <c r="B73" s="9"/>
      <c r="C73" s="9"/>
      <c r="D73" s="9"/>
      <c r="E73" s="9"/>
      <c r="F73" s="9"/>
      <c r="G73" s="7"/>
      <c r="H73" s="11"/>
      <c r="I73" s="9"/>
      <c r="J73" s="9"/>
      <c r="K73" s="7"/>
      <c r="L73" s="9"/>
    </row>
    <row r="74" spans="1:12">
      <c r="A74" s="9"/>
      <c r="B74" s="9"/>
      <c r="C74" s="9"/>
      <c r="D74" s="9"/>
      <c r="E74" s="9"/>
      <c r="F74" s="9"/>
      <c r="G74" s="7"/>
      <c r="H74" s="11"/>
      <c r="I74" s="9"/>
      <c r="J74" s="9"/>
      <c r="K74" s="7"/>
      <c r="L74" s="9"/>
    </row>
    <row r="75" spans="1:12">
      <c r="A75" s="9"/>
      <c r="B75" s="9"/>
      <c r="C75" s="9"/>
      <c r="D75" s="9"/>
      <c r="E75" s="9"/>
      <c r="F75" s="9"/>
      <c r="G75" s="7"/>
      <c r="H75" s="11"/>
      <c r="I75" s="9"/>
      <c r="J75" s="9"/>
      <c r="K75" s="7"/>
      <c r="L75" s="9"/>
    </row>
    <row r="76" spans="1:12">
      <c r="A76" s="9"/>
      <c r="B76" s="9"/>
      <c r="C76" s="9"/>
      <c r="D76" s="9"/>
      <c r="E76" s="9"/>
      <c r="F76" s="9"/>
      <c r="G76" s="7"/>
      <c r="H76" s="11"/>
      <c r="I76" s="9"/>
      <c r="J76" s="9"/>
      <c r="K76" s="7"/>
      <c r="L76" s="9"/>
    </row>
    <row r="77" spans="1:12">
      <c r="A77" s="9"/>
      <c r="B77" s="9"/>
      <c r="C77" s="9"/>
      <c r="D77" s="9"/>
      <c r="E77" s="9"/>
      <c r="F77" s="9"/>
      <c r="G77" s="7"/>
      <c r="H77" s="11"/>
      <c r="I77" s="9"/>
      <c r="J77" s="9"/>
      <c r="K77" s="7"/>
      <c r="L77" s="9"/>
    </row>
    <row r="78" spans="1:12">
      <c r="A78" s="9"/>
      <c r="B78" s="9"/>
      <c r="C78" s="9"/>
      <c r="D78" s="9"/>
      <c r="E78" s="9"/>
      <c r="F78" s="9"/>
      <c r="G78" s="7"/>
      <c r="H78" s="11"/>
      <c r="I78" s="9"/>
      <c r="J78" s="9"/>
      <c r="K78" s="7"/>
      <c r="L78" s="9"/>
    </row>
    <row r="79" spans="1:12">
      <c r="A79" s="9"/>
      <c r="B79" s="9"/>
      <c r="C79" s="9"/>
      <c r="D79" s="9"/>
      <c r="E79" s="9"/>
      <c r="F79" s="9"/>
      <c r="G79" s="7"/>
      <c r="H79" s="11"/>
      <c r="I79" s="9"/>
      <c r="J79" s="9"/>
      <c r="K79" s="7"/>
      <c r="L79" s="9"/>
    </row>
    <row r="80" spans="1:12">
      <c r="A80" s="9"/>
      <c r="B80" s="9"/>
      <c r="C80" s="9"/>
      <c r="D80" s="9"/>
      <c r="E80" s="9"/>
      <c r="F80" s="9"/>
      <c r="G80" s="7"/>
      <c r="H80" s="11"/>
      <c r="I80" s="9"/>
      <c r="J80" s="9"/>
      <c r="K80" s="7"/>
      <c r="L80" s="9"/>
    </row>
    <row r="81" spans="1:12">
      <c r="A81" s="9"/>
      <c r="B81" s="9"/>
      <c r="C81" s="9"/>
      <c r="D81" s="9"/>
      <c r="E81" s="9"/>
      <c r="F81" s="9"/>
      <c r="G81" s="7"/>
      <c r="H81" s="11"/>
      <c r="I81" s="9"/>
      <c r="J81" s="9"/>
      <c r="K81" s="7"/>
      <c r="L81" s="9"/>
    </row>
    <row r="82" spans="1:12">
      <c r="A82" s="9"/>
      <c r="B82" s="9"/>
      <c r="C82" s="9"/>
      <c r="D82" s="9"/>
      <c r="E82" s="9"/>
      <c r="F82" s="9"/>
      <c r="G82" s="7"/>
      <c r="H82" s="11"/>
      <c r="I82" s="9"/>
      <c r="J82" s="9"/>
      <c r="K82" s="7"/>
      <c r="L82" s="9"/>
    </row>
    <row r="83" spans="1:12">
      <c r="A83" s="9"/>
      <c r="B83" s="9"/>
      <c r="C83" s="9"/>
      <c r="D83" s="9"/>
      <c r="E83" s="9"/>
      <c r="F83" s="9"/>
      <c r="G83" s="7"/>
      <c r="H83" s="11"/>
      <c r="I83" s="9"/>
      <c r="J83" s="9"/>
      <c r="K83" s="7"/>
      <c r="L83" s="9"/>
    </row>
    <row r="84" spans="1:12">
      <c r="A84" s="9"/>
      <c r="B84" s="9"/>
      <c r="C84" s="9"/>
      <c r="D84" s="9"/>
      <c r="E84" s="9"/>
      <c r="F84" s="9"/>
      <c r="G84" s="7"/>
      <c r="H84" s="11"/>
      <c r="I84" s="9"/>
      <c r="J84" s="9"/>
      <c r="K84" s="7"/>
      <c r="L84" s="9"/>
    </row>
    <row r="85" spans="1:12">
      <c r="A85" s="9"/>
      <c r="B85" s="9"/>
      <c r="C85" s="9"/>
      <c r="D85" s="9"/>
      <c r="E85" s="9"/>
      <c r="F85" s="9"/>
      <c r="G85" s="7"/>
      <c r="H85" s="11"/>
      <c r="I85" s="9"/>
      <c r="J85" s="9"/>
      <c r="K85" s="7"/>
      <c r="L85" s="9"/>
    </row>
    <row r="86" spans="1:12">
      <c r="A86" s="9"/>
      <c r="B86" s="9"/>
      <c r="C86" s="9"/>
      <c r="D86" s="9"/>
      <c r="E86" s="9"/>
      <c r="F86" s="9"/>
      <c r="G86" s="7"/>
      <c r="H86" s="11"/>
      <c r="I86" s="9"/>
      <c r="J86" s="9"/>
      <c r="K86" s="7"/>
      <c r="L86" s="9"/>
    </row>
    <row r="87" spans="1:12">
      <c r="A87" s="9"/>
      <c r="B87" s="9"/>
      <c r="C87" s="9"/>
      <c r="D87" s="9"/>
      <c r="E87" s="9"/>
      <c r="F87" s="9"/>
      <c r="G87" s="7"/>
      <c r="H87" s="11"/>
      <c r="I87" s="9"/>
      <c r="J87" s="9"/>
      <c r="K87" s="7"/>
      <c r="L87" s="9"/>
    </row>
    <row r="88" spans="1:12">
      <c r="A88" s="9"/>
      <c r="B88" s="9"/>
      <c r="C88" s="9"/>
      <c r="D88" s="9"/>
      <c r="E88" s="9"/>
      <c r="F88" s="9"/>
      <c r="G88" s="7"/>
      <c r="H88" s="11"/>
      <c r="I88" s="9"/>
      <c r="J88" s="9"/>
      <c r="K88" s="7"/>
      <c r="L88" s="9"/>
    </row>
    <row r="89" spans="1:12">
      <c r="A89" s="9"/>
      <c r="B89" s="9"/>
      <c r="C89" s="9"/>
      <c r="D89" s="9"/>
      <c r="E89" s="9"/>
      <c r="F89" s="9"/>
      <c r="G89" s="7"/>
      <c r="H89" s="11"/>
      <c r="I89" s="9"/>
      <c r="J89" s="9"/>
      <c r="K89" s="7"/>
      <c r="L89" s="9"/>
    </row>
    <row r="90" spans="1:12">
      <c r="A90" s="9"/>
      <c r="B90" s="9"/>
      <c r="C90" s="9"/>
      <c r="D90" s="9"/>
      <c r="E90" s="9"/>
      <c r="F90" s="9"/>
      <c r="G90" s="7"/>
      <c r="H90" s="11"/>
      <c r="I90" s="9"/>
      <c r="J90" s="9"/>
      <c r="K90" s="7"/>
      <c r="L90" s="9"/>
    </row>
    <row r="91" spans="1:12">
      <c r="A91" s="9"/>
      <c r="B91" s="9"/>
      <c r="C91" s="9"/>
      <c r="D91" s="9"/>
      <c r="E91" s="9"/>
      <c r="F91" s="9"/>
      <c r="G91" s="7"/>
      <c r="H91" s="11"/>
      <c r="I91" s="9"/>
      <c r="J91" s="9"/>
      <c r="K91" s="7"/>
      <c r="L91" s="9"/>
    </row>
    <row r="92" spans="1:12">
      <c r="A92" s="9"/>
      <c r="B92" s="9"/>
      <c r="C92" s="9"/>
      <c r="D92" s="9"/>
      <c r="E92" s="9"/>
      <c r="F92" s="9"/>
      <c r="G92" s="7"/>
      <c r="H92" s="11"/>
      <c r="I92" s="9"/>
      <c r="J92" s="9"/>
      <c r="K92" s="7"/>
      <c r="L92" s="9"/>
    </row>
    <row r="93" spans="1:12">
      <c r="A93" s="9"/>
      <c r="B93" s="9"/>
      <c r="C93" s="9"/>
      <c r="D93" s="9"/>
      <c r="E93" s="9"/>
      <c r="F93" s="9"/>
      <c r="G93" s="7"/>
      <c r="H93" s="11"/>
      <c r="I93" s="9"/>
      <c r="J93" s="9"/>
      <c r="K93" s="7"/>
      <c r="L93" s="9"/>
    </row>
    <row r="94" spans="1:12">
      <c r="A94" s="9"/>
      <c r="B94" s="9"/>
      <c r="C94" s="9"/>
      <c r="D94" s="9"/>
      <c r="E94" s="9"/>
      <c r="F94" s="9"/>
      <c r="G94" s="7"/>
      <c r="H94" s="11"/>
      <c r="I94" s="9"/>
      <c r="J94" s="9"/>
      <c r="K94" s="7"/>
      <c r="L94" s="9"/>
    </row>
    <row r="95" spans="1:12">
      <c r="A95" s="9"/>
      <c r="B95" s="9"/>
      <c r="C95" s="9"/>
      <c r="D95" s="9"/>
      <c r="E95" s="9"/>
      <c r="F95" s="9"/>
      <c r="G95" s="7"/>
      <c r="H95" s="11"/>
      <c r="I95" s="9"/>
      <c r="J95" s="9"/>
      <c r="K95" s="7"/>
      <c r="L95" s="9"/>
    </row>
    <row r="96" spans="1:12">
      <c r="A96" s="9"/>
      <c r="B96" s="9"/>
      <c r="C96" s="9"/>
      <c r="D96" s="9"/>
      <c r="E96" s="9"/>
      <c r="F96" s="9"/>
      <c r="G96" s="7"/>
      <c r="H96" s="11"/>
      <c r="I96" s="9"/>
      <c r="J96" s="9"/>
      <c r="K96" s="7"/>
      <c r="L96" s="9"/>
    </row>
    <row r="97" spans="1:12">
      <c r="A97" s="9"/>
      <c r="B97" s="9"/>
      <c r="C97" s="9"/>
      <c r="D97" s="9"/>
      <c r="E97" s="9"/>
      <c r="F97" s="9"/>
      <c r="G97" s="7"/>
      <c r="H97" s="11"/>
      <c r="I97" s="9"/>
      <c r="J97" s="9"/>
      <c r="K97" s="7"/>
      <c r="L97" s="9"/>
    </row>
    <row r="98" spans="1:12">
      <c r="A98" s="9"/>
      <c r="B98" s="9"/>
      <c r="C98" s="9"/>
      <c r="D98" s="9"/>
      <c r="E98" s="9"/>
      <c r="F98" s="9"/>
      <c r="G98" s="7"/>
      <c r="H98" s="11"/>
      <c r="I98" s="9"/>
      <c r="J98" s="9"/>
      <c r="K98" s="7"/>
      <c r="L98" s="9"/>
    </row>
    <row r="99" spans="1:12">
      <c r="A99" s="9"/>
      <c r="B99" s="9"/>
      <c r="C99" s="9"/>
      <c r="D99" s="9"/>
      <c r="E99" s="9"/>
      <c r="F99" s="9"/>
      <c r="G99" s="7"/>
      <c r="H99" s="11"/>
      <c r="I99" s="9"/>
      <c r="J99" s="9"/>
      <c r="K99" s="7"/>
      <c r="L99" s="9"/>
    </row>
    <row r="100" spans="1:12">
      <c r="A100" s="9"/>
      <c r="B100" s="9"/>
      <c r="C100" s="9"/>
      <c r="D100" s="9"/>
      <c r="E100" s="9"/>
      <c r="F100" s="9"/>
      <c r="G100" s="7"/>
      <c r="H100" s="11"/>
      <c r="I100" s="9"/>
      <c r="J100" s="9"/>
      <c r="K100" s="7"/>
      <c r="L100" s="9"/>
    </row>
    <row r="101" spans="1:12">
      <c r="A101" s="9"/>
      <c r="B101" s="9"/>
      <c r="C101" s="9"/>
      <c r="D101" s="9"/>
      <c r="E101" s="9"/>
      <c r="F101" s="9"/>
      <c r="G101" s="7"/>
      <c r="H101" s="11"/>
      <c r="I101" s="9"/>
      <c r="J101" s="9"/>
      <c r="K101" s="7"/>
      <c r="L101" s="9"/>
    </row>
    <row r="102" spans="1:12">
      <c r="A102" s="9"/>
      <c r="B102" s="9"/>
      <c r="C102" s="9"/>
      <c r="D102" s="9"/>
      <c r="E102" s="9"/>
      <c r="F102" s="9"/>
      <c r="G102" s="7"/>
      <c r="H102" s="11"/>
      <c r="I102" s="9"/>
      <c r="J102" s="9"/>
      <c r="K102" s="7"/>
      <c r="L102" s="9"/>
    </row>
    <row r="103" spans="1:12">
      <c r="A103" s="9"/>
      <c r="B103" s="9"/>
      <c r="C103" s="9"/>
      <c r="D103" s="9"/>
      <c r="E103" s="9"/>
      <c r="F103" s="9"/>
      <c r="G103" s="7"/>
      <c r="H103" s="11"/>
      <c r="I103" s="9"/>
      <c r="J103" s="9"/>
      <c r="K103" s="7"/>
      <c r="L103" s="9"/>
    </row>
    <row r="104" spans="1:12">
      <c r="A104" s="9"/>
      <c r="B104" s="9"/>
      <c r="C104" s="9"/>
      <c r="D104" s="9"/>
      <c r="E104" s="9"/>
      <c r="F104" s="9"/>
      <c r="G104" s="7"/>
      <c r="H104" s="11"/>
      <c r="I104" s="9"/>
      <c r="J104" s="9"/>
      <c r="K104" s="7"/>
      <c r="L104" s="9"/>
    </row>
    <row r="105" spans="1:12">
      <c r="A105" s="9"/>
      <c r="B105" s="9"/>
      <c r="C105" s="9"/>
      <c r="D105" s="9"/>
      <c r="E105" s="9"/>
      <c r="F105" s="9"/>
      <c r="G105" s="7"/>
      <c r="H105" s="11"/>
      <c r="I105" s="9"/>
      <c r="J105" s="9"/>
      <c r="K105" s="7"/>
      <c r="L105" s="9"/>
    </row>
    <row r="106" spans="1:12">
      <c r="A106" s="9"/>
      <c r="B106" s="9"/>
      <c r="C106" s="9"/>
      <c r="D106" s="9"/>
      <c r="E106" s="9"/>
      <c r="F106" s="9"/>
      <c r="G106" s="7"/>
      <c r="H106" s="11"/>
      <c r="I106" s="9"/>
      <c r="J106" s="9"/>
      <c r="K106" s="7"/>
      <c r="L106" s="9"/>
    </row>
    <row r="107" spans="1:12">
      <c r="A107" s="9"/>
      <c r="B107" s="9"/>
      <c r="C107" s="9"/>
      <c r="D107" s="9"/>
      <c r="E107" s="9"/>
      <c r="F107" s="9"/>
      <c r="G107" s="7"/>
      <c r="H107" s="11"/>
      <c r="I107" s="9"/>
      <c r="J107" s="9"/>
      <c r="K107" s="7"/>
      <c r="L107" s="9"/>
    </row>
    <row r="108" spans="1:12">
      <c r="A108" s="9"/>
      <c r="B108" s="9"/>
      <c r="C108" s="9"/>
      <c r="D108" s="9"/>
      <c r="E108" s="9"/>
      <c r="F108" s="9"/>
      <c r="G108" s="7"/>
      <c r="H108" s="11"/>
      <c r="I108" s="9"/>
      <c r="J108" s="9"/>
      <c r="K108" s="7"/>
      <c r="L108" s="9"/>
    </row>
    <row r="109" spans="1:12">
      <c r="A109" s="9"/>
      <c r="B109" s="9"/>
      <c r="C109" s="9"/>
      <c r="D109" s="9"/>
      <c r="E109" s="9"/>
      <c r="F109" s="9"/>
      <c r="G109" s="7"/>
      <c r="H109" s="11"/>
      <c r="I109" s="9"/>
      <c r="J109" s="9"/>
      <c r="K109" s="7"/>
      <c r="L109" s="9"/>
    </row>
    <row r="110" spans="1:12">
      <c r="A110" s="9"/>
      <c r="B110" s="9"/>
      <c r="C110" s="9"/>
      <c r="D110" s="9"/>
      <c r="E110" s="9"/>
      <c r="F110" s="9"/>
      <c r="G110" s="7"/>
      <c r="H110" s="11"/>
      <c r="I110" s="9"/>
      <c r="J110" s="9"/>
      <c r="K110" s="7"/>
      <c r="L110" s="9"/>
    </row>
    <row r="111" spans="1:12">
      <c r="A111" s="9"/>
      <c r="B111" s="9"/>
      <c r="C111" s="9"/>
      <c r="D111" s="9"/>
      <c r="E111" s="9"/>
      <c r="F111" s="9"/>
      <c r="G111" s="7"/>
      <c r="H111" s="11"/>
      <c r="I111" s="9"/>
      <c r="J111" s="9"/>
      <c r="K111" s="7"/>
      <c r="L111" s="9"/>
    </row>
    <row r="112" spans="1:12">
      <c r="A112" s="9"/>
      <c r="B112" s="9"/>
      <c r="C112" s="9"/>
      <c r="D112" s="9"/>
      <c r="E112" s="9"/>
      <c r="F112" s="9"/>
      <c r="G112" s="7"/>
      <c r="H112" s="11"/>
      <c r="I112" s="9"/>
      <c r="J112" s="9"/>
      <c r="K112" s="7"/>
      <c r="L112" s="9"/>
    </row>
    <row r="113" spans="1:12">
      <c r="A113" s="9"/>
      <c r="B113" s="9"/>
      <c r="C113" s="9"/>
      <c r="D113" s="9"/>
      <c r="E113" s="9"/>
      <c r="F113" s="9"/>
      <c r="G113" s="7"/>
      <c r="H113" s="11"/>
      <c r="I113" s="9"/>
      <c r="J113" s="9"/>
      <c r="K113" s="7"/>
      <c r="L113" s="9"/>
    </row>
    <row r="114" spans="1:12">
      <c r="A114" s="9"/>
      <c r="B114" s="9"/>
      <c r="C114" s="9"/>
      <c r="D114" s="9"/>
      <c r="E114" s="9"/>
      <c r="F114" s="9"/>
      <c r="G114" s="7"/>
      <c r="H114" s="11"/>
      <c r="I114" s="9"/>
      <c r="J114" s="9"/>
      <c r="K114" s="7"/>
      <c r="L114" s="9"/>
    </row>
    <row r="115" spans="1:12">
      <c r="A115" s="9"/>
      <c r="B115" s="9"/>
      <c r="C115" s="9"/>
      <c r="D115" s="9"/>
      <c r="E115" s="9"/>
      <c r="F115" s="9"/>
      <c r="G115" s="7"/>
      <c r="H115" s="11"/>
      <c r="I115" s="9"/>
      <c r="J115" s="9"/>
      <c r="K115" s="7"/>
      <c r="L115" s="9"/>
    </row>
    <row r="116" spans="1:12">
      <c r="A116" s="9"/>
      <c r="B116" s="9"/>
      <c r="C116" s="9"/>
      <c r="D116" s="9"/>
      <c r="E116" s="9"/>
      <c r="F116" s="9"/>
      <c r="G116" s="7"/>
      <c r="H116" s="11"/>
      <c r="I116" s="9"/>
      <c r="J116" s="9"/>
      <c r="K116" s="7"/>
      <c r="L116" s="9"/>
    </row>
    <row r="117" spans="1:12">
      <c r="A117" s="9"/>
      <c r="B117" s="9"/>
      <c r="C117" s="9"/>
      <c r="D117" s="9"/>
      <c r="E117" s="9"/>
      <c r="F117" s="9"/>
      <c r="G117" s="7"/>
      <c r="H117" s="11"/>
      <c r="I117" s="9"/>
      <c r="J117" s="9"/>
      <c r="K117" s="7"/>
      <c r="L117" s="9"/>
    </row>
    <row r="118" spans="1:12">
      <c r="A118" s="9"/>
      <c r="B118" s="9"/>
      <c r="C118" s="9"/>
      <c r="D118" s="9"/>
      <c r="E118" s="9"/>
      <c r="F118" s="9"/>
      <c r="G118" s="7"/>
      <c r="H118" s="11"/>
      <c r="I118" s="9"/>
      <c r="J118" s="9"/>
      <c r="K118" s="7"/>
      <c r="L118" s="9"/>
    </row>
    <row r="119" spans="1:12">
      <c r="A119" s="9"/>
      <c r="B119" s="9"/>
      <c r="C119" s="9"/>
      <c r="D119" s="9"/>
      <c r="E119" s="9"/>
      <c r="F119" s="9"/>
      <c r="G119" s="7"/>
      <c r="H119" s="11"/>
      <c r="I119" s="9"/>
      <c r="J119" s="9"/>
      <c r="K119" s="7"/>
      <c r="L119" s="9"/>
    </row>
    <row r="120" spans="1:12">
      <c r="A120" s="9"/>
      <c r="B120" s="9"/>
      <c r="C120" s="9"/>
      <c r="D120" s="9"/>
      <c r="E120" s="9"/>
      <c r="F120" s="9"/>
      <c r="G120" s="7"/>
      <c r="H120" s="11"/>
      <c r="I120" s="9"/>
      <c r="J120" s="9"/>
      <c r="K120" s="7"/>
      <c r="L120" s="9"/>
    </row>
    <row r="121" spans="1:12">
      <c r="A121" s="9"/>
      <c r="B121" s="9"/>
      <c r="C121" s="9"/>
      <c r="D121" s="9"/>
      <c r="E121" s="9"/>
      <c r="F121" s="9"/>
      <c r="G121" s="7"/>
      <c r="H121" s="11"/>
      <c r="I121" s="9"/>
      <c r="J121" s="9"/>
      <c r="K121" s="7"/>
      <c r="L121" s="9"/>
    </row>
    <row r="122" spans="1:12">
      <c r="A122" s="9"/>
      <c r="B122" s="9"/>
      <c r="C122" s="9"/>
      <c r="D122" s="9"/>
      <c r="E122" s="9"/>
      <c r="F122" s="9"/>
      <c r="G122" s="7"/>
      <c r="H122" s="11"/>
      <c r="I122" s="9"/>
      <c r="J122" s="9"/>
      <c r="K122" s="7"/>
      <c r="L122" s="9"/>
    </row>
    <row r="123" spans="1:12">
      <c r="A123" s="9"/>
      <c r="B123" s="9"/>
      <c r="C123" s="9"/>
      <c r="D123" s="9"/>
      <c r="E123" s="9"/>
      <c r="F123" s="9"/>
      <c r="G123" s="7"/>
      <c r="H123" s="11"/>
      <c r="I123" s="9"/>
      <c r="J123" s="9"/>
      <c r="K123" s="7"/>
      <c r="L123" s="9"/>
    </row>
    <row r="124" spans="1:12">
      <c r="A124" s="9"/>
      <c r="B124" s="9"/>
      <c r="C124" s="9"/>
      <c r="D124" s="9"/>
      <c r="E124" s="9"/>
      <c r="F124" s="9"/>
      <c r="G124" s="7"/>
      <c r="H124" s="11"/>
      <c r="I124" s="9"/>
      <c r="J124" s="9"/>
      <c r="K124" s="7"/>
      <c r="L124" s="9"/>
    </row>
    <row r="125" spans="1:12">
      <c r="A125" s="9"/>
      <c r="B125" s="9"/>
      <c r="C125" s="9"/>
      <c r="D125" s="9"/>
      <c r="E125" s="9"/>
      <c r="F125" s="9"/>
      <c r="G125" s="7"/>
      <c r="H125" s="11"/>
      <c r="I125" s="9"/>
      <c r="J125" s="9"/>
      <c r="K125" s="7"/>
      <c r="L125" s="9"/>
    </row>
    <row r="126" spans="1:12">
      <c r="A126" s="9"/>
      <c r="B126" s="9"/>
      <c r="C126" s="9"/>
      <c r="D126" s="9"/>
      <c r="E126" s="9"/>
      <c r="F126" s="9"/>
      <c r="G126" s="7"/>
      <c r="H126" s="11"/>
      <c r="I126" s="9"/>
      <c r="J126" s="9"/>
      <c r="K126" s="7"/>
      <c r="L126" s="9"/>
    </row>
    <row r="127" spans="1:12">
      <c r="A127" s="9"/>
      <c r="B127" s="9"/>
      <c r="C127" s="9"/>
      <c r="D127" s="9"/>
      <c r="E127" s="9"/>
      <c r="F127" s="9"/>
      <c r="G127" s="7"/>
      <c r="H127" s="11"/>
      <c r="I127" s="9"/>
      <c r="J127" s="9"/>
      <c r="K127" s="7"/>
      <c r="L127" s="9"/>
    </row>
    <row r="128" spans="1:12">
      <c r="A128" s="9"/>
      <c r="B128" s="9"/>
      <c r="C128" s="9"/>
      <c r="D128" s="9"/>
      <c r="E128" s="9"/>
      <c r="F128" s="9"/>
      <c r="G128" s="7"/>
      <c r="H128" s="11"/>
      <c r="I128" s="9"/>
      <c r="J128" s="9"/>
      <c r="K128" s="7"/>
      <c r="L128" s="9"/>
    </row>
    <row r="129" spans="1:12">
      <c r="A129" s="9"/>
      <c r="B129" s="9"/>
      <c r="C129" s="9"/>
      <c r="D129" s="9"/>
      <c r="E129" s="9"/>
      <c r="F129" s="9"/>
      <c r="G129" s="7"/>
      <c r="H129" s="11"/>
      <c r="I129" s="9"/>
      <c r="J129" s="9"/>
      <c r="K129" s="7"/>
      <c r="L129" s="9"/>
    </row>
    <row r="130" spans="1:12">
      <c r="A130" s="9"/>
      <c r="B130" s="9"/>
      <c r="C130" s="9"/>
      <c r="D130" s="9"/>
      <c r="E130" s="9"/>
      <c r="F130" s="9"/>
      <c r="G130" s="7"/>
      <c r="H130" s="11"/>
      <c r="I130" s="9"/>
      <c r="J130" s="9"/>
      <c r="K130" s="7"/>
      <c r="L130" s="9"/>
    </row>
    <row r="131" spans="1:12">
      <c r="A131" s="9"/>
      <c r="B131" s="9"/>
      <c r="C131" s="9"/>
      <c r="D131" s="9"/>
      <c r="E131" s="9"/>
      <c r="F131" s="9"/>
      <c r="G131" s="7"/>
      <c r="H131" s="11"/>
      <c r="I131" s="9"/>
      <c r="J131" s="9"/>
      <c r="K131" s="7"/>
      <c r="L131" s="9"/>
    </row>
    <row r="132" spans="1:12">
      <c r="A132" s="9"/>
      <c r="B132" s="9"/>
      <c r="C132" s="9"/>
      <c r="D132" s="9"/>
      <c r="E132" s="9"/>
      <c r="F132" s="9"/>
      <c r="G132" s="7"/>
      <c r="H132" s="11"/>
      <c r="I132" s="9"/>
      <c r="J132" s="9"/>
      <c r="K132" s="7"/>
      <c r="L132" s="9"/>
    </row>
    <row r="133" spans="1:12">
      <c r="A133" s="9"/>
      <c r="B133" s="9"/>
      <c r="C133" s="9"/>
      <c r="D133" s="9"/>
      <c r="E133" s="9"/>
      <c r="F133" s="9"/>
      <c r="G133" s="7"/>
      <c r="H133" s="11"/>
      <c r="I133" s="9"/>
      <c r="J133" s="9"/>
      <c r="K133" s="7"/>
      <c r="L133" s="9"/>
    </row>
    <row r="134" spans="1:12">
      <c r="A134" s="9"/>
      <c r="B134" s="9"/>
      <c r="C134" s="9"/>
      <c r="D134" s="9"/>
      <c r="E134" s="9"/>
      <c r="F134" s="9"/>
      <c r="G134" s="7"/>
      <c r="H134" s="11"/>
      <c r="I134" s="9"/>
      <c r="J134" s="9"/>
      <c r="K134" s="7"/>
      <c r="L134" s="9"/>
    </row>
    <row r="135" spans="1:12">
      <c r="A135" s="9"/>
      <c r="B135" s="9"/>
      <c r="C135" s="9"/>
      <c r="D135" s="9"/>
      <c r="E135" s="9"/>
      <c r="F135" s="9"/>
      <c r="G135" s="7"/>
      <c r="H135" s="11"/>
      <c r="I135" s="9"/>
      <c r="J135" s="9"/>
      <c r="K135" s="7"/>
      <c r="L135" s="9"/>
    </row>
    <row r="136" spans="1:12">
      <c r="A136" s="9"/>
      <c r="B136" s="9"/>
      <c r="C136" s="9"/>
      <c r="D136" s="9"/>
      <c r="E136" s="9"/>
      <c r="F136" s="9"/>
      <c r="G136" s="7"/>
      <c r="H136" s="11"/>
      <c r="I136" s="9"/>
      <c r="J136" s="9"/>
      <c r="K136" s="7"/>
      <c r="L136" s="9"/>
    </row>
    <row r="137" spans="1:12">
      <c r="A137" s="9"/>
      <c r="B137" s="9"/>
      <c r="C137" s="9"/>
      <c r="D137" s="9"/>
      <c r="E137" s="9"/>
      <c r="F137" s="9"/>
      <c r="G137" s="7"/>
      <c r="H137" s="11"/>
      <c r="I137" s="9"/>
      <c r="J137" s="9"/>
      <c r="K137" s="7"/>
      <c r="L137" s="9"/>
    </row>
    <row r="138" spans="1:12">
      <c r="A138" s="9"/>
      <c r="B138" s="9"/>
      <c r="C138" s="9"/>
      <c r="D138" s="9"/>
      <c r="E138" s="9"/>
      <c r="F138" s="9"/>
      <c r="G138" s="7"/>
      <c r="H138" s="11"/>
      <c r="I138" s="9"/>
      <c r="J138" s="9"/>
      <c r="K138" s="7"/>
      <c r="L138" s="9"/>
    </row>
    <row r="139" spans="1:12">
      <c r="A139" s="9"/>
      <c r="B139" s="9"/>
      <c r="C139" s="9"/>
      <c r="D139" s="9"/>
      <c r="E139" s="9"/>
      <c r="F139" s="9"/>
      <c r="G139" s="7"/>
      <c r="H139" s="11"/>
      <c r="I139" s="9"/>
      <c r="J139" s="9"/>
      <c r="K139" s="7"/>
      <c r="L139" s="9"/>
    </row>
    <row r="140" spans="1:12">
      <c r="A140" s="9"/>
      <c r="B140" s="9"/>
      <c r="C140" s="9"/>
      <c r="D140" s="9"/>
      <c r="E140" s="9"/>
      <c r="F140" s="9"/>
      <c r="G140" s="7"/>
      <c r="H140" s="11"/>
      <c r="I140" s="9"/>
      <c r="J140" s="9"/>
      <c r="K140" s="7"/>
      <c r="L140" s="9"/>
    </row>
    <row r="141" spans="1:12">
      <c r="A141" s="9"/>
      <c r="B141" s="9"/>
      <c r="C141" s="9"/>
      <c r="D141" s="9"/>
      <c r="E141" s="9"/>
      <c r="F141" s="9"/>
      <c r="G141" s="7"/>
      <c r="H141" s="11"/>
      <c r="I141" s="9"/>
      <c r="J141" s="9"/>
      <c r="K141" s="7"/>
      <c r="L141" s="9"/>
    </row>
    <row r="142" spans="1:12">
      <c r="A142" s="9"/>
      <c r="B142" s="9"/>
      <c r="C142" s="9"/>
      <c r="D142" s="9"/>
      <c r="E142" s="9"/>
      <c r="F142" s="9"/>
      <c r="G142" s="7"/>
      <c r="H142" s="11"/>
      <c r="I142" s="9"/>
      <c r="J142" s="9"/>
      <c r="K142" s="7"/>
      <c r="L142" s="9"/>
    </row>
    <row r="143" spans="1:12">
      <c r="A143" s="9"/>
      <c r="B143" s="9"/>
      <c r="C143" s="9"/>
      <c r="D143" s="9"/>
      <c r="E143" s="9"/>
      <c r="F143" s="9"/>
      <c r="G143" s="7"/>
      <c r="H143" s="11"/>
      <c r="I143" s="9"/>
      <c r="J143" s="9"/>
      <c r="K143" s="7"/>
      <c r="L143" s="9"/>
    </row>
    <row r="144" spans="1:12">
      <c r="A144" s="9"/>
      <c r="B144" s="9"/>
      <c r="C144" s="9"/>
      <c r="D144" s="9"/>
      <c r="E144" s="9"/>
      <c r="F144" s="9"/>
      <c r="G144" s="7"/>
      <c r="H144" s="11"/>
      <c r="I144" s="9"/>
      <c r="J144" s="9"/>
      <c r="K144" s="7"/>
      <c r="L144" s="9"/>
    </row>
    <row r="145" spans="1:12">
      <c r="A145" s="9"/>
      <c r="B145" s="9"/>
      <c r="C145" s="9"/>
      <c r="D145" s="9"/>
      <c r="E145" s="9"/>
      <c r="F145" s="9"/>
      <c r="G145" s="7"/>
      <c r="H145" s="11"/>
      <c r="I145" s="9"/>
      <c r="J145" s="9"/>
      <c r="K145" s="7"/>
      <c r="L145" s="9"/>
    </row>
    <row r="146" spans="1:12">
      <c r="A146" s="9"/>
      <c r="B146" s="9"/>
      <c r="C146" s="9"/>
      <c r="D146" s="9"/>
      <c r="E146" s="9"/>
      <c r="F146" s="9"/>
      <c r="G146" s="7"/>
      <c r="H146" s="11"/>
      <c r="I146" s="9"/>
      <c r="J146" s="9"/>
      <c r="K146" s="7"/>
      <c r="L146" s="9"/>
    </row>
    <row r="147" spans="1:12">
      <c r="A147" s="9"/>
      <c r="B147" s="9"/>
      <c r="C147" s="9"/>
      <c r="D147" s="9"/>
      <c r="E147" s="9"/>
      <c r="F147" s="9"/>
      <c r="G147" s="7"/>
      <c r="H147" s="11"/>
      <c r="I147" s="9"/>
      <c r="J147" s="9"/>
      <c r="K147" s="7"/>
      <c r="L147" s="9"/>
    </row>
    <row r="148" spans="1:12">
      <c r="A148" s="9"/>
      <c r="B148" s="9"/>
      <c r="C148" s="9"/>
      <c r="D148" s="9"/>
      <c r="E148" s="9"/>
      <c r="F148" s="9"/>
      <c r="G148" s="7"/>
      <c r="H148" s="11"/>
      <c r="I148" s="9"/>
      <c r="J148" s="9"/>
      <c r="K148" s="7"/>
      <c r="L148" s="9"/>
    </row>
    <row r="149" spans="1:12">
      <c r="A149" s="9"/>
      <c r="B149" s="9"/>
      <c r="C149" s="9"/>
      <c r="D149" s="9"/>
      <c r="E149" s="9"/>
      <c r="F149" s="9"/>
      <c r="G149" s="7"/>
      <c r="H149" s="11"/>
      <c r="I149" s="9"/>
      <c r="J149" s="9"/>
      <c r="K149" s="7"/>
      <c r="L149" s="9"/>
    </row>
    <row r="150" spans="1:12">
      <c r="A150" s="9"/>
      <c r="B150" s="9"/>
      <c r="C150" s="9"/>
      <c r="D150" s="9"/>
      <c r="E150" s="9"/>
      <c r="F150" s="9"/>
      <c r="G150" s="7"/>
      <c r="H150" s="11"/>
      <c r="I150" s="9"/>
      <c r="J150" s="9"/>
      <c r="K150" s="7"/>
      <c r="L150" s="9"/>
    </row>
    <row r="151" spans="1:12">
      <c r="A151" s="9"/>
      <c r="B151" s="9"/>
      <c r="C151" s="9"/>
      <c r="D151" s="9"/>
      <c r="E151" s="9"/>
      <c r="F151" s="9"/>
      <c r="G151" s="7"/>
      <c r="H151" s="11"/>
      <c r="I151" s="9"/>
      <c r="J151" s="9"/>
      <c r="K151" s="7"/>
      <c r="L151" s="9"/>
    </row>
    <row r="152" spans="1:12">
      <c r="A152" s="9"/>
      <c r="B152" s="9"/>
      <c r="C152" s="9"/>
      <c r="D152" s="9"/>
      <c r="E152" s="9"/>
      <c r="F152" s="9"/>
      <c r="G152" s="7"/>
      <c r="H152" s="11"/>
      <c r="I152" s="9"/>
      <c r="J152" s="9"/>
      <c r="K152" s="7"/>
      <c r="L152" s="9"/>
    </row>
    <row r="153" spans="1:12">
      <c r="A153" s="9"/>
      <c r="B153" s="9"/>
      <c r="C153" s="9"/>
      <c r="D153" s="9"/>
      <c r="E153" s="9"/>
      <c r="F153" s="9"/>
      <c r="G153" s="7"/>
      <c r="H153" s="11"/>
      <c r="I153" s="9"/>
      <c r="J153" s="9"/>
      <c r="K153" s="7"/>
      <c r="L153" s="9"/>
    </row>
    <row r="154" spans="1:12">
      <c r="A154" s="9"/>
      <c r="B154" s="9"/>
      <c r="C154" s="9"/>
      <c r="D154" s="9"/>
      <c r="E154" s="9"/>
      <c r="F154" s="9"/>
      <c r="G154" s="7"/>
      <c r="H154" s="11"/>
      <c r="I154" s="9"/>
      <c r="J154" s="9"/>
      <c r="K154" s="7"/>
      <c r="L154" s="9"/>
    </row>
    <row r="155" spans="1:12">
      <c r="A155" s="9"/>
      <c r="B155" s="9"/>
      <c r="C155" s="9"/>
      <c r="D155" s="9"/>
      <c r="E155" s="9"/>
      <c r="F155" s="9"/>
      <c r="G155" s="7"/>
      <c r="H155" s="11"/>
      <c r="I155" s="9"/>
      <c r="J155" s="9"/>
      <c r="K155" s="7"/>
      <c r="L155" s="9"/>
    </row>
    <row r="156" spans="1:12">
      <c r="A156" s="9"/>
      <c r="B156" s="9"/>
      <c r="C156" s="9"/>
      <c r="D156" s="9"/>
      <c r="E156" s="9"/>
      <c r="F156" s="9"/>
      <c r="G156" s="7"/>
      <c r="H156" s="11"/>
      <c r="I156" s="9"/>
      <c r="J156" s="9"/>
      <c r="K156" s="7"/>
      <c r="L156" s="9"/>
    </row>
    <row r="157" spans="1:12">
      <c r="A157" s="9"/>
      <c r="B157" s="9"/>
      <c r="C157" s="9"/>
      <c r="D157" s="9"/>
      <c r="E157" s="9"/>
      <c r="F157" s="9"/>
      <c r="G157" s="7"/>
      <c r="H157" s="11"/>
      <c r="I157" s="9"/>
      <c r="J157" s="9"/>
      <c r="K157" s="7"/>
      <c r="L157" s="9"/>
    </row>
    <row r="158" spans="1:12">
      <c r="A158" s="9"/>
      <c r="B158" s="9"/>
      <c r="C158" s="9"/>
      <c r="D158" s="9"/>
      <c r="E158" s="9"/>
      <c r="F158" s="9"/>
      <c r="G158" s="7"/>
      <c r="H158" s="11"/>
      <c r="I158" s="9"/>
      <c r="J158" s="9"/>
      <c r="K158" s="7"/>
      <c r="L158" s="9"/>
    </row>
    <row r="159" spans="1:12">
      <c r="A159" s="9"/>
      <c r="B159" s="9"/>
      <c r="C159" s="9"/>
      <c r="D159" s="9"/>
      <c r="E159" s="9"/>
      <c r="F159" s="9"/>
      <c r="G159" s="7"/>
      <c r="H159" s="11"/>
      <c r="I159" s="9"/>
      <c r="J159" s="9"/>
      <c r="K159" s="7"/>
      <c r="L159" s="9"/>
    </row>
    <row r="160" spans="1:12">
      <c r="A160" s="9"/>
      <c r="B160" s="9"/>
      <c r="C160" s="9"/>
      <c r="D160" s="9"/>
      <c r="E160" s="9"/>
      <c r="F160" s="9"/>
      <c r="G160" s="7"/>
      <c r="H160" s="11"/>
      <c r="I160" s="9"/>
      <c r="J160" s="9"/>
      <c r="K160" s="7"/>
      <c r="L160" s="9"/>
    </row>
    <row r="161" spans="1:12">
      <c r="A161" s="9"/>
      <c r="B161" s="9"/>
      <c r="C161" s="9"/>
      <c r="D161" s="9"/>
      <c r="E161" s="9"/>
      <c r="F161" s="9"/>
      <c r="G161" s="7"/>
      <c r="H161" s="11"/>
      <c r="I161" s="9"/>
      <c r="J161" s="9"/>
      <c r="K161" s="7"/>
      <c r="L161" s="9"/>
    </row>
    <row r="162" spans="1:12">
      <c r="A162" s="9"/>
      <c r="B162" s="9"/>
      <c r="C162" s="9"/>
      <c r="D162" s="9"/>
      <c r="E162" s="9"/>
      <c r="F162" s="9"/>
      <c r="G162" s="7"/>
      <c r="H162" s="11"/>
      <c r="I162" s="9"/>
      <c r="J162" s="9"/>
      <c r="K162" s="7"/>
      <c r="L162" s="9"/>
    </row>
    <row r="163" spans="1:12">
      <c r="A163" s="9"/>
      <c r="B163" s="9"/>
      <c r="C163" s="9"/>
      <c r="D163" s="9"/>
      <c r="E163" s="9"/>
      <c r="F163" s="9"/>
      <c r="G163" s="7"/>
      <c r="H163" s="11"/>
      <c r="I163" s="9"/>
      <c r="J163" s="9"/>
      <c r="K163" s="7"/>
      <c r="L163" s="9"/>
    </row>
    <row r="164" spans="1:12">
      <c r="A164" s="9"/>
      <c r="B164" s="9"/>
      <c r="C164" s="9"/>
      <c r="D164" s="9"/>
      <c r="E164" s="9"/>
      <c r="F164" s="9"/>
      <c r="G164" s="7"/>
      <c r="H164" s="11"/>
      <c r="I164" s="9"/>
      <c r="J164" s="9"/>
      <c r="K164" s="7"/>
      <c r="L164" s="9"/>
    </row>
    <row r="165" spans="1:12">
      <c r="A165" s="9"/>
      <c r="B165" s="9"/>
      <c r="C165" s="9"/>
      <c r="D165" s="9"/>
      <c r="E165" s="9"/>
      <c r="F165" s="9"/>
      <c r="G165" s="7"/>
      <c r="H165" s="11"/>
      <c r="I165" s="9"/>
      <c r="J165" s="9"/>
      <c r="K165" s="7"/>
      <c r="L165" s="9"/>
    </row>
    <row r="166" spans="1:12">
      <c r="A166" s="9"/>
      <c r="B166" s="9"/>
      <c r="C166" s="9"/>
      <c r="D166" s="9"/>
      <c r="E166" s="9"/>
      <c r="F166" s="9"/>
      <c r="G166" s="7"/>
      <c r="H166" s="11"/>
      <c r="I166" s="9"/>
      <c r="J166" s="9"/>
      <c r="K166" s="7"/>
      <c r="L166" s="9"/>
    </row>
    <row r="167" spans="1:12">
      <c r="A167" s="9"/>
      <c r="B167" s="9"/>
      <c r="C167" s="9"/>
      <c r="D167" s="9"/>
      <c r="E167" s="9"/>
      <c r="F167" s="9"/>
      <c r="G167" s="7"/>
      <c r="H167" s="11"/>
      <c r="I167" s="9"/>
      <c r="J167" s="9"/>
      <c r="K167" s="7"/>
      <c r="L167" s="9"/>
    </row>
    <row r="168" spans="1:12">
      <c r="A168" s="9"/>
      <c r="B168" s="9"/>
      <c r="C168" s="9"/>
      <c r="D168" s="9"/>
      <c r="E168" s="9"/>
      <c r="F168" s="9"/>
      <c r="G168" s="7"/>
      <c r="H168" s="11"/>
      <c r="I168" s="9"/>
      <c r="J168" s="9"/>
      <c r="K168" s="7"/>
      <c r="L168" s="9"/>
    </row>
    <row r="169" spans="1:12">
      <c r="A169" s="9"/>
      <c r="B169" s="9"/>
      <c r="C169" s="9"/>
      <c r="D169" s="9"/>
      <c r="E169" s="9"/>
      <c r="F169" s="9"/>
      <c r="G169" s="7"/>
      <c r="H169" s="11"/>
      <c r="I169" s="9"/>
      <c r="J169" s="9"/>
      <c r="K169" s="7"/>
      <c r="L169" s="9"/>
    </row>
    <row r="170" spans="1:12">
      <c r="A170" s="9"/>
      <c r="B170" s="9"/>
      <c r="C170" s="9"/>
      <c r="D170" s="9"/>
      <c r="E170" s="9"/>
      <c r="F170" s="9"/>
      <c r="G170" s="7"/>
      <c r="H170" s="11"/>
      <c r="I170" s="9"/>
      <c r="J170" s="9"/>
      <c r="K170" s="7"/>
      <c r="L170" s="9"/>
    </row>
    <row r="171" spans="1:12">
      <c r="A171" s="9"/>
      <c r="B171" s="9"/>
      <c r="C171" s="9"/>
      <c r="D171" s="9"/>
      <c r="E171" s="9"/>
      <c r="F171" s="9"/>
      <c r="G171" s="7"/>
      <c r="H171" s="11"/>
      <c r="I171" s="9"/>
      <c r="J171" s="9"/>
      <c r="K171" s="7"/>
      <c r="L171" s="9"/>
    </row>
    <row r="172" spans="1:12">
      <c r="A172" s="9"/>
      <c r="B172" s="9"/>
      <c r="C172" s="9"/>
      <c r="D172" s="9"/>
      <c r="E172" s="9"/>
      <c r="F172" s="9"/>
      <c r="G172" s="7"/>
      <c r="H172" s="11"/>
      <c r="I172" s="9"/>
      <c r="J172" s="9"/>
      <c r="K172" s="7"/>
      <c r="L172" s="9"/>
    </row>
    <row r="173" spans="1:12">
      <c r="A173" s="9"/>
      <c r="B173" s="9"/>
      <c r="C173" s="9"/>
      <c r="D173" s="9"/>
      <c r="E173" s="9"/>
      <c r="F173" s="9"/>
      <c r="G173" s="7"/>
      <c r="H173" s="11"/>
      <c r="I173" s="9"/>
      <c r="J173" s="9"/>
      <c r="K173" s="7"/>
      <c r="L173" s="9"/>
    </row>
    <row r="174" spans="1:12">
      <c r="A174" s="9"/>
      <c r="B174" s="9"/>
      <c r="C174" s="9"/>
      <c r="D174" s="9"/>
      <c r="E174" s="9"/>
      <c r="F174" s="9"/>
      <c r="G174" s="7"/>
      <c r="H174" s="11"/>
      <c r="I174" s="9"/>
      <c r="J174" s="9"/>
      <c r="K174" s="7"/>
      <c r="L174" s="9"/>
    </row>
    <row r="175" spans="1:12">
      <c r="A175" s="9"/>
      <c r="B175" s="9"/>
      <c r="C175" s="9"/>
      <c r="D175" s="9"/>
      <c r="E175" s="9"/>
      <c r="F175" s="9"/>
      <c r="G175" s="7"/>
      <c r="H175" s="11"/>
      <c r="I175" s="9"/>
      <c r="J175" s="9"/>
      <c r="K175" s="7"/>
      <c r="L175" s="9"/>
    </row>
    <row r="176" spans="1:12">
      <c r="A176" s="9"/>
      <c r="B176" s="9"/>
      <c r="C176" s="9"/>
      <c r="D176" s="9"/>
      <c r="E176" s="9"/>
      <c r="F176" s="9"/>
      <c r="G176" s="7"/>
      <c r="H176" s="11"/>
      <c r="I176" s="9"/>
      <c r="J176" s="9"/>
      <c r="K176" s="7"/>
      <c r="L176" s="9"/>
    </row>
    <row r="177" spans="1:12">
      <c r="A177" s="9"/>
      <c r="B177" s="9"/>
      <c r="C177" s="9"/>
      <c r="D177" s="9"/>
      <c r="E177" s="9"/>
      <c r="F177" s="9"/>
      <c r="G177" s="7"/>
      <c r="H177" s="11"/>
      <c r="I177" s="9"/>
      <c r="J177" s="9"/>
      <c r="K177" s="7"/>
      <c r="L177" s="9"/>
    </row>
    <row r="178" spans="1:12">
      <c r="A178" s="9"/>
      <c r="B178" s="9"/>
      <c r="C178" s="9"/>
      <c r="D178" s="9"/>
      <c r="E178" s="9"/>
      <c r="F178" s="9"/>
      <c r="G178" s="7"/>
      <c r="H178" s="11"/>
      <c r="I178" s="9"/>
      <c r="J178" s="9"/>
      <c r="K178" s="7"/>
      <c r="L178" s="9"/>
    </row>
    <row r="179" spans="1:12">
      <c r="A179" s="9"/>
      <c r="B179" s="9"/>
      <c r="C179" s="9"/>
      <c r="D179" s="9"/>
      <c r="E179" s="9"/>
      <c r="F179" s="9"/>
      <c r="G179" s="7"/>
      <c r="H179" s="11"/>
      <c r="I179" s="9"/>
      <c r="J179" s="9"/>
      <c r="K179" s="7"/>
      <c r="L179" s="9"/>
    </row>
    <row r="180" spans="1:12">
      <c r="A180" s="9"/>
      <c r="B180" s="9"/>
      <c r="C180" s="9"/>
      <c r="D180" s="9"/>
      <c r="E180" s="9"/>
      <c r="F180" s="9"/>
      <c r="G180" s="7"/>
      <c r="H180" s="11"/>
      <c r="I180" s="9"/>
      <c r="J180" s="9"/>
      <c r="K180" s="7"/>
      <c r="L180" s="9"/>
    </row>
    <row r="181" spans="1:12">
      <c r="A181" s="9"/>
      <c r="B181" s="9"/>
      <c r="C181" s="9"/>
      <c r="D181" s="9"/>
      <c r="E181" s="9"/>
      <c r="F181" s="9"/>
      <c r="G181" s="7"/>
      <c r="H181" s="11"/>
      <c r="I181" s="9"/>
      <c r="J181" s="9"/>
      <c r="K181" s="7"/>
      <c r="L181" s="9"/>
    </row>
    <row r="182" spans="1:12">
      <c r="A182" s="9"/>
      <c r="B182" s="9"/>
      <c r="C182" s="9"/>
      <c r="D182" s="9"/>
      <c r="E182" s="9"/>
      <c r="F182" s="9"/>
      <c r="G182" s="7"/>
      <c r="H182" s="11"/>
      <c r="I182" s="9"/>
      <c r="J182" s="9"/>
      <c r="K182" s="7"/>
      <c r="L182" s="9"/>
    </row>
    <row r="183" spans="1:12">
      <c r="A183" s="9"/>
      <c r="B183" s="9"/>
      <c r="C183" s="9"/>
      <c r="D183" s="9"/>
      <c r="E183" s="9"/>
      <c r="F183" s="9"/>
      <c r="G183" s="7"/>
      <c r="H183" s="11"/>
      <c r="I183" s="9"/>
      <c r="J183" s="9"/>
      <c r="K183" s="7"/>
      <c r="L183" s="9"/>
    </row>
    <row r="184" spans="1:12">
      <c r="A184" s="9"/>
      <c r="B184" s="9"/>
      <c r="C184" s="9"/>
      <c r="D184" s="9"/>
      <c r="E184" s="9"/>
      <c r="F184" s="9"/>
      <c r="G184" s="7"/>
      <c r="H184" s="11"/>
      <c r="I184" s="9"/>
      <c r="J184" s="9"/>
      <c r="K184" s="7"/>
      <c r="L184" s="9"/>
    </row>
    <row r="185" spans="1:12">
      <c r="A185" s="9"/>
      <c r="B185" s="9"/>
      <c r="C185" s="9"/>
      <c r="D185" s="9"/>
      <c r="E185" s="9"/>
      <c r="F185" s="9"/>
      <c r="G185" s="7"/>
      <c r="H185" s="11"/>
      <c r="I185" s="9"/>
      <c r="J185" s="9"/>
      <c r="K185" s="7"/>
      <c r="L185" s="9"/>
    </row>
    <row r="186" spans="1:12">
      <c r="A186" s="9"/>
      <c r="B186" s="9"/>
      <c r="C186" s="9"/>
      <c r="D186" s="9"/>
      <c r="E186" s="9"/>
      <c r="F186" s="9"/>
      <c r="G186" s="7"/>
      <c r="H186" s="11"/>
      <c r="I186" s="9"/>
      <c r="J186" s="9"/>
      <c r="K186" s="7"/>
      <c r="L186" s="9"/>
    </row>
    <row r="187" spans="1:12">
      <c r="A187" s="9"/>
      <c r="B187" s="9"/>
      <c r="C187" s="9"/>
      <c r="D187" s="9"/>
      <c r="E187" s="9"/>
      <c r="F187" s="9"/>
      <c r="G187" s="7"/>
      <c r="H187" s="11"/>
      <c r="I187" s="9"/>
      <c r="J187" s="9"/>
      <c r="K187" s="7"/>
      <c r="L187" s="9"/>
    </row>
    <row r="188" spans="1:12">
      <c r="A188" s="9"/>
      <c r="B188" s="9"/>
      <c r="C188" s="9"/>
      <c r="D188" s="9"/>
      <c r="E188" s="9"/>
      <c r="F188" s="9"/>
      <c r="G188" s="7"/>
      <c r="H188" s="11"/>
      <c r="I188" s="9"/>
      <c r="J188" s="9"/>
      <c r="K188" s="7"/>
      <c r="L188" s="9"/>
    </row>
    <row r="189" spans="1:12">
      <c r="A189" s="9"/>
      <c r="B189" s="9"/>
      <c r="C189" s="9"/>
      <c r="D189" s="9"/>
      <c r="E189" s="9"/>
      <c r="F189" s="9"/>
      <c r="G189" s="7"/>
      <c r="H189" s="11"/>
      <c r="I189" s="9"/>
      <c r="J189" s="9"/>
      <c r="K189" s="7"/>
      <c r="L189" s="9"/>
    </row>
    <row r="190" spans="1:12">
      <c r="A190" s="9"/>
      <c r="B190" s="9"/>
      <c r="C190" s="9"/>
      <c r="D190" s="9"/>
      <c r="E190" s="9"/>
      <c r="F190" s="9"/>
      <c r="G190" s="7"/>
      <c r="H190" s="11"/>
      <c r="I190" s="9"/>
      <c r="J190" s="9"/>
      <c r="K190" s="7"/>
      <c r="L190" s="9"/>
    </row>
    <row r="191" spans="1:12">
      <c r="A191" s="9"/>
      <c r="B191" s="9"/>
      <c r="C191" s="9"/>
      <c r="D191" s="9"/>
      <c r="E191" s="9"/>
      <c r="F191" s="9"/>
      <c r="G191" s="7"/>
      <c r="H191" s="11"/>
      <c r="I191" s="9"/>
      <c r="J191" s="9"/>
      <c r="K191" s="7"/>
      <c r="L191" s="9"/>
    </row>
    <row r="192" spans="1:12">
      <c r="A192" s="9"/>
      <c r="B192" s="9"/>
      <c r="C192" s="9"/>
      <c r="D192" s="9"/>
      <c r="E192" s="9"/>
      <c r="F192" s="9"/>
      <c r="G192" s="7"/>
      <c r="H192" s="11"/>
      <c r="I192" s="9"/>
      <c r="J192" s="9"/>
      <c r="K192" s="7"/>
      <c r="L192" s="9"/>
    </row>
    <row r="193" spans="1:12">
      <c r="A193" s="9"/>
      <c r="B193" s="9"/>
      <c r="C193" s="9"/>
      <c r="D193" s="9"/>
      <c r="E193" s="9"/>
      <c r="F193" s="9"/>
      <c r="G193" s="7"/>
      <c r="H193" s="11"/>
      <c r="I193" s="9"/>
      <c r="J193" s="9"/>
      <c r="K193" s="7"/>
      <c r="L193" s="9"/>
    </row>
    <row r="194" spans="1:12">
      <c r="A194" s="9"/>
      <c r="B194" s="9"/>
      <c r="C194" s="9"/>
      <c r="D194" s="9"/>
      <c r="E194" s="9"/>
      <c r="F194" s="9"/>
      <c r="G194" s="7"/>
      <c r="H194" s="11"/>
      <c r="I194" s="9"/>
      <c r="J194" s="9"/>
      <c r="K194" s="7"/>
      <c r="L194" s="9"/>
    </row>
    <row r="195" spans="1:12">
      <c r="A195" s="9"/>
      <c r="B195" s="9"/>
      <c r="C195" s="9"/>
      <c r="D195" s="9"/>
      <c r="E195" s="9"/>
      <c r="F195" s="9"/>
      <c r="G195" s="7"/>
      <c r="H195" s="11"/>
      <c r="I195" s="9"/>
      <c r="J195" s="9"/>
      <c r="K195" s="7"/>
      <c r="L195" s="9"/>
    </row>
    <row r="196" spans="1:12">
      <c r="A196" s="9"/>
      <c r="B196" s="9"/>
      <c r="C196" s="9"/>
      <c r="D196" s="9"/>
      <c r="E196" s="9"/>
      <c r="F196" s="9"/>
      <c r="G196" s="7"/>
      <c r="H196" s="11"/>
      <c r="I196" s="9"/>
      <c r="J196" s="9"/>
      <c r="K196" s="7"/>
      <c r="L196" s="9"/>
    </row>
    <row r="197" spans="1:12">
      <c r="A197" s="9"/>
      <c r="B197" s="9"/>
      <c r="C197" s="9"/>
      <c r="D197" s="9"/>
      <c r="E197" s="9"/>
      <c r="F197" s="9"/>
      <c r="G197" s="7"/>
      <c r="H197" s="11"/>
      <c r="I197" s="9"/>
      <c r="J197" s="9"/>
      <c r="K197" s="7"/>
      <c r="L197" s="9"/>
    </row>
    <row r="198" spans="1:12">
      <c r="A198" s="9"/>
      <c r="B198" s="9"/>
      <c r="C198" s="9"/>
      <c r="D198" s="9"/>
      <c r="E198" s="9"/>
      <c r="F198" s="9"/>
      <c r="G198" s="7"/>
      <c r="H198" s="11"/>
      <c r="I198" s="9"/>
      <c r="J198" s="9"/>
      <c r="K198" s="7"/>
      <c r="L198" s="9"/>
    </row>
    <row r="199" spans="1:12">
      <c r="A199" s="9"/>
      <c r="B199" s="9"/>
      <c r="C199" s="9"/>
      <c r="D199" s="9"/>
      <c r="E199" s="9"/>
      <c r="F199" s="9"/>
      <c r="G199" s="7"/>
      <c r="H199" s="11"/>
      <c r="I199" s="9"/>
      <c r="J199" s="9"/>
      <c r="K199" s="7"/>
      <c r="L199" s="9"/>
    </row>
    <row r="200" spans="1:12">
      <c r="A200" s="9"/>
      <c r="B200" s="9"/>
      <c r="C200" s="9"/>
      <c r="D200" s="9"/>
      <c r="E200" s="9"/>
      <c r="F200" s="9"/>
      <c r="G200" s="7"/>
      <c r="H200" s="11"/>
      <c r="I200" s="9"/>
      <c r="J200" s="9"/>
      <c r="K200" s="7"/>
      <c r="L200" s="9"/>
    </row>
    <row r="201" spans="1:12">
      <c r="A201" s="9"/>
      <c r="B201" s="9"/>
      <c r="C201" s="9"/>
      <c r="D201" s="9"/>
      <c r="E201" s="9"/>
      <c r="F201" s="9"/>
      <c r="G201" s="7"/>
      <c r="H201" s="11"/>
      <c r="I201" s="9"/>
      <c r="J201" s="9"/>
      <c r="K201" s="7"/>
      <c r="L201" s="9"/>
    </row>
  </sheetData>
  <mergeCells count="1">
    <mergeCell ref="A1:L1"/>
  </mergeCells>
  <conditionalFormatting sqref="J3:J201">
    <cfRule type="expression" dxfId="0" priority="2">
      <formula>J3="Yes"</formula>
    </cfRule>
    <cfRule type="expression" dxfId="3" priority="3">
      <formula>J3="No"</formula>
    </cfRule>
  </conditionalFormatting>
  <dataValidations count="2">
    <dataValidation type="list" sqref="C3:C201">
      <formula1>"Unit 1 / Phase 1,Phase 2,Phase 3,Final"</formula1>
    </dataValidation>
    <dataValidation type="list" sqref="J3:J201">
      <formula1>"Yes,No"</formula1>
    </dataValidation>
  </dataValidations>
  <pageMargins left="0.7" right="0.7" top="0.75" bottom="0.75" header="0.511811023622047" footer="0.511811023622047"/>
  <pageSetup paperSize="9" orientation="portrait" horizontalDpi="300" verticalDpi="300"/>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
  <sheetViews>
    <sheetView workbookViewId="0">
      <selection activeCell="F11" sqref="F11"/>
    </sheetView>
  </sheetViews>
  <sheetFormatPr defaultColWidth="9" defaultRowHeight="14.5" outlineLevelCol="7"/>
  <cols>
    <col min="1" max="1" width="15" customWidth="1"/>
    <col min="2" max="2" width="19" customWidth="1"/>
    <col min="3" max="4" width="34" customWidth="1"/>
    <col min="5" max="5" width="38" customWidth="1"/>
    <col min="6" max="6" width="24" customWidth="1"/>
    <col min="7" max="8" width="14" customWidth="1"/>
  </cols>
  <sheetData>
    <row r="1" ht="19.5" customHeight="1" spans="1:8">
      <c r="A1" s="1" t="s">
        <v>174</v>
      </c>
      <c r="B1" s="1"/>
      <c r="C1" s="1"/>
      <c r="D1" s="1"/>
      <c r="E1" s="1"/>
      <c r="F1" s="1"/>
      <c r="G1" s="1"/>
      <c r="H1" s="1"/>
    </row>
    <row r="2" spans="1:8">
      <c r="A2" s="2" t="s">
        <v>175</v>
      </c>
      <c r="B2" s="2" t="s">
        <v>77</v>
      </c>
      <c r="C2" s="2" t="s">
        <v>176</v>
      </c>
      <c r="D2" s="2" t="s">
        <v>177</v>
      </c>
      <c r="E2" s="2" t="s">
        <v>178</v>
      </c>
      <c r="F2" s="2" t="s">
        <v>179</v>
      </c>
      <c r="G2" s="2" t="s">
        <v>180</v>
      </c>
      <c r="H2" s="2" t="s">
        <v>83</v>
      </c>
    </row>
    <row r="3" ht="27.75" customHeight="1" spans="1:8">
      <c r="A3" s="7" t="s">
        <v>181</v>
      </c>
      <c r="B3" s="9" t="s">
        <v>32</v>
      </c>
      <c r="C3" s="9" t="s">
        <v>182</v>
      </c>
      <c r="D3" s="9" t="s">
        <v>183</v>
      </c>
      <c r="E3" s="9" t="s">
        <v>184</v>
      </c>
      <c r="F3" s="9" t="s">
        <v>143</v>
      </c>
      <c r="G3" s="7" t="s">
        <v>185</v>
      </c>
      <c r="H3" s="9" t="s">
        <v>50</v>
      </c>
    </row>
    <row r="4" spans="1:8">
      <c r="A4" s="7"/>
      <c r="B4" s="9"/>
      <c r="C4" s="9"/>
      <c r="D4" s="9"/>
      <c r="E4" s="9"/>
      <c r="F4" s="9"/>
      <c r="G4" s="7"/>
      <c r="H4" s="9"/>
    </row>
    <row r="5" spans="1:8">
      <c r="A5" s="7"/>
      <c r="B5" s="9"/>
      <c r="C5" s="9"/>
      <c r="D5" s="9"/>
      <c r="E5" s="9"/>
      <c r="F5" s="9"/>
      <c r="G5" s="7"/>
      <c r="H5" s="9"/>
    </row>
    <row r="6" spans="1:8">
      <c r="A6" s="7"/>
      <c r="B6" s="9"/>
      <c r="C6" s="9"/>
      <c r="D6" s="9"/>
      <c r="E6" s="9"/>
      <c r="F6" s="9"/>
      <c r="G6" s="7"/>
      <c r="H6" s="9"/>
    </row>
    <row r="7" spans="1:8">
      <c r="A7" s="7"/>
      <c r="B7" s="9"/>
      <c r="C7" s="9"/>
      <c r="D7" s="9"/>
      <c r="E7" s="9"/>
      <c r="F7" s="9"/>
      <c r="G7" s="7"/>
      <c r="H7" s="9"/>
    </row>
    <row r="8" spans="1:8">
      <c r="A8" s="7"/>
      <c r="B8" s="9"/>
      <c r="C8" s="9"/>
      <c r="D8" s="9"/>
      <c r="E8" s="9"/>
      <c r="F8" s="9"/>
      <c r="G8" s="7"/>
      <c r="H8" s="9"/>
    </row>
    <row r="9" spans="1:8">
      <c r="A9" s="7"/>
      <c r="B9" s="9"/>
      <c r="C9" s="9"/>
      <c r="D9" s="9"/>
      <c r="E9" s="9"/>
      <c r="F9" s="9"/>
      <c r="G9" s="7"/>
      <c r="H9" s="9"/>
    </row>
    <row r="10" spans="1:8">
      <c r="A10" s="7"/>
      <c r="B10" s="9"/>
      <c r="C10" s="9"/>
      <c r="D10" s="9"/>
      <c r="E10" s="9"/>
      <c r="F10" s="9"/>
      <c r="G10" s="7"/>
      <c r="H10" s="9"/>
    </row>
    <row r="11" spans="1:8">
      <c r="A11" s="7"/>
      <c r="B11" s="9"/>
      <c r="C11" s="9"/>
      <c r="D11" s="9"/>
      <c r="E11" s="9"/>
      <c r="F11" s="9"/>
      <c r="G11" s="7"/>
      <c r="H11" s="9"/>
    </row>
    <row r="12" spans="1:8">
      <c r="A12" s="7"/>
      <c r="B12" s="9"/>
      <c r="C12" s="9"/>
      <c r="D12" s="9"/>
      <c r="E12" s="9"/>
      <c r="F12" s="9"/>
      <c r="G12" s="7"/>
      <c r="H12" s="9"/>
    </row>
    <row r="13" spans="1:8">
      <c r="A13" s="7"/>
      <c r="B13" s="9"/>
      <c r="C13" s="9"/>
      <c r="D13" s="9"/>
      <c r="E13" s="9"/>
      <c r="F13" s="9"/>
      <c r="G13" s="7"/>
      <c r="H13" s="9"/>
    </row>
    <row r="14" spans="1:8">
      <c r="A14" s="7"/>
      <c r="B14" s="9"/>
      <c r="C14" s="9"/>
      <c r="D14" s="9"/>
      <c r="E14" s="9"/>
      <c r="F14" s="9"/>
      <c r="G14" s="7"/>
      <c r="H14" s="9"/>
    </row>
    <row r="15" spans="1:8">
      <c r="A15" s="7"/>
      <c r="B15" s="9"/>
      <c r="C15" s="9"/>
      <c r="D15" s="9"/>
      <c r="E15" s="9"/>
      <c r="F15" s="9"/>
      <c r="G15" s="7"/>
      <c r="H15" s="9"/>
    </row>
    <row r="16" spans="1:8">
      <c r="A16" s="7"/>
      <c r="B16" s="9"/>
      <c r="C16" s="9"/>
      <c r="D16" s="9"/>
      <c r="E16" s="9"/>
      <c r="F16" s="9"/>
      <c r="G16" s="7"/>
      <c r="H16" s="9"/>
    </row>
    <row r="17" spans="1:8">
      <c r="A17" s="7"/>
      <c r="B17" s="9"/>
      <c r="C17" s="9"/>
      <c r="D17" s="9"/>
      <c r="E17" s="9"/>
      <c r="F17" s="9"/>
      <c r="G17" s="7"/>
      <c r="H17" s="9"/>
    </row>
    <row r="18" spans="1:8">
      <c r="A18" s="7"/>
      <c r="B18" s="9"/>
      <c r="C18" s="9"/>
      <c r="D18" s="9"/>
      <c r="E18" s="9"/>
      <c r="F18" s="9"/>
      <c r="G18" s="7"/>
      <c r="H18" s="9"/>
    </row>
    <row r="19" spans="1:8">
      <c r="A19" s="7"/>
      <c r="B19" s="9"/>
      <c r="C19" s="9"/>
      <c r="D19" s="9"/>
      <c r="E19" s="9"/>
      <c r="F19" s="9"/>
      <c r="G19" s="7"/>
      <c r="H19" s="9"/>
    </row>
    <row r="20" spans="1:8">
      <c r="A20" s="7"/>
      <c r="B20" s="9"/>
      <c r="C20" s="9"/>
      <c r="D20" s="9"/>
      <c r="E20" s="9"/>
      <c r="F20" s="9"/>
      <c r="G20" s="7"/>
      <c r="H20" s="9"/>
    </row>
    <row r="21" spans="1:8">
      <c r="A21" s="7"/>
      <c r="B21" s="9"/>
      <c r="C21" s="9"/>
      <c r="D21" s="9"/>
      <c r="E21" s="9"/>
      <c r="F21" s="9"/>
      <c r="G21" s="7"/>
      <c r="H21" s="9"/>
    </row>
    <row r="22" spans="1:8">
      <c r="A22" s="7"/>
      <c r="B22" s="9"/>
      <c r="C22" s="9"/>
      <c r="D22" s="9"/>
      <c r="E22" s="9"/>
      <c r="F22" s="9"/>
      <c r="G22" s="7"/>
      <c r="H22" s="9"/>
    </row>
    <row r="23" spans="1:8">
      <c r="A23" s="7"/>
      <c r="B23" s="9"/>
      <c r="C23" s="9"/>
      <c r="D23" s="9"/>
      <c r="E23" s="9"/>
      <c r="F23" s="9"/>
      <c r="G23" s="7"/>
      <c r="H23" s="9"/>
    </row>
    <row r="24" spans="1:8">
      <c r="A24" s="7"/>
      <c r="B24" s="9"/>
      <c r="C24" s="9"/>
      <c r="D24" s="9"/>
      <c r="E24" s="9"/>
      <c r="F24" s="9"/>
      <c r="G24" s="7"/>
      <c r="H24" s="9"/>
    </row>
    <row r="25" spans="1:8">
      <c r="A25" s="7"/>
      <c r="B25" s="9"/>
      <c r="C25" s="9"/>
      <c r="D25" s="9"/>
      <c r="E25" s="9"/>
      <c r="F25" s="9"/>
      <c r="G25" s="7"/>
      <c r="H25" s="9"/>
    </row>
    <row r="26" spans="1:8">
      <c r="A26" s="7"/>
      <c r="B26" s="9"/>
      <c r="C26" s="9"/>
      <c r="D26" s="9"/>
      <c r="E26" s="9"/>
      <c r="F26" s="9"/>
      <c r="G26" s="7"/>
      <c r="H26" s="9"/>
    </row>
    <row r="27" spans="1:8">
      <c r="A27" s="7"/>
      <c r="B27" s="9"/>
      <c r="C27" s="9"/>
      <c r="D27" s="9"/>
      <c r="E27" s="9"/>
      <c r="F27" s="9"/>
      <c r="G27" s="7"/>
      <c r="H27" s="9"/>
    </row>
    <row r="28" spans="1:8">
      <c r="A28" s="7"/>
      <c r="B28" s="9"/>
      <c r="C28" s="9"/>
      <c r="D28" s="9"/>
      <c r="E28" s="9"/>
      <c r="F28" s="9"/>
      <c r="G28" s="7"/>
      <c r="H28" s="9"/>
    </row>
    <row r="29" spans="1:8">
      <c r="A29" s="7"/>
      <c r="B29" s="9"/>
      <c r="C29" s="9"/>
      <c r="D29" s="9"/>
      <c r="E29" s="9"/>
      <c r="F29" s="9"/>
      <c r="G29" s="7"/>
      <c r="H29" s="9"/>
    </row>
    <row r="30" spans="1:8">
      <c r="A30" s="7"/>
      <c r="B30" s="9"/>
      <c r="C30" s="9"/>
      <c r="D30" s="9"/>
      <c r="E30" s="9"/>
      <c r="F30" s="9"/>
      <c r="G30" s="7"/>
      <c r="H30" s="9"/>
    </row>
    <row r="31" spans="1:8">
      <c r="A31" s="7"/>
      <c r="B31" s="9"/>
      <c r="C31" s="9"/>
      <c r="D31" s="9"/>
      <c r="E31" s="9"/>
      <c r="F31" s="9"/>
      <c r="G31" s="7"/>
      <c r="H31" s="9"/>
    </row>
    <row r="32" spans="1:8">
      <c r="A32" s="7"/>
      <c r="B32" s="9"/>
      <c r="C32" s="9"/>
      <c r="D32" s="9"/>
      <c r="E32" s="9"/>
      <c r="F32" s="9"/>
      <c r="G32" s="7"/>
      <c r="H32" s="9"/>
    </row>
    <row r="33" spans="1:8">
      <c r="A33" s="7"/>
      <c r="B33" s="9"/>
      <c r="C33" s="9"/>
      <c r="D33" s="9"/>
      <c r="E33" s="9"/>
      <c r="F33" s="9"/>
      <c r="G33" s="7"/>
      <c r="H33" s="9"/>
    </row>
    <row r="34" spans="1:8">
      <c r="A34" s="7"/>
      <c r="B34" s="9"/>
      <c r="C34" s="9"/>
      <c r="D34" s="9"/>
      <c r="E34" s="9"/>
      <c r="F34" s="9"/>
      <c r="G34" s="7"/>
      <c r="H34" s="9"/>
    </row>
    <row r="35" spans="1:8">
      <c r="A35" s="7"/>
      <c r="B35" s="9"/>
      <c r="C35" s="9"/>
      <c r="D35" s="9"/>
      <c r="E35" s="9"/>
      <c r="F35" s="9"/>
      <c r="G35" s="7"/>
      <c r="H35" s="9"/>
    </row>
    <row r="36" spans="1:8">
      <c r="A36" s="7"/>
      <c r="B36" s="9"/>
      <c r="C36" s="9"/>
      <c r="D36" s="9"/>
      <c r="E36" s="9"/>
      <c r="F36" s="9"/>
      <c r="G36" s="7"/>
      <c r="H36" s="9"/>
    </row>
    <row r="37" spans="1:8">
      <c r="A37" s="7"/>
      <c r="B37" s="9"/>
      <c r="C37" s="9"/>
      <c r="D37" s="9"/>
      <c r="E37" s="9"/>
      <c r="F37" s="9"/>
      <c r="G37" s="7"/>
      <c r="H37" s="9"/>
    </row>
    <row r="38" spans="1:8">
      <c r="A38" s="7"/>
      <c r="B38" s="9"/>
      <c r="C38" s="9"/>
      <c r="D38" s="9"/>
      <c r="E38" s="9"/>
      <c r="F38" s="9"/>
      <c r="G38" s="7"/>
      <c r="H38" s="9"/>
    </row>
    <row r="39" spans="1:8">
      <c r="A39" s="7"/>
      <c r="B39" s="9"/>
      <c r="C39" s="9"/>
      <c r="D39" s="9"/>
      <c r="E39" s="9"/>
      <c r="F39" s="9"/>
      <c r="G39" s="7"/>
      <c r="H39" s="9"/>
    </row>
    <row r="40" spans="1:8">
      <c r="A40" s="7"/>
      <c r="B40" s="9"/>
      <c r="C40" s="9"/>
      <c r="D40" s="9"/>
      <c r="E40" s="9"/>
      <c r="F40" s="9"/>
      <c r="G40" s="7"/>
      <c r="H40" s="9"/>
    </row>
    <row r="41" spans="1:8">
      <c r="A41" s="7"/>
      <c r="B41" s="9"/>
      <c r="C41" s="9"/>
      <c r="D41" s="9"/>
      <c r="E41" s="9"/>
      <c r="F41" s="9"/>
      <c r="G41" s="7"/>
      <c r="H41" s="9"/>
    </row>
    <row r="42" spans="1:8">
      <c r="A42" s="7"/>
      <c r="B42" s="9"/>
      <c r="C42" s="9"/>
      <c r="D42" s="9"/>
      <c r="E42" s="9"/>
      <c r="F42" s="9"/>
      <c r="G42" s="7"/>
      <c r="H42" s="9"/>
    </row>
    <row r="43" spans="1:8">
      <c r="A43" s="7"/>
      <c r="B43" s="9"/>
      <c r="C43" s="9"/>
      <c r="D43" s="9"/>
      <c r="E43" s="9"/>
      <c r="F43" s="9"/>
      <c r="G43" s="7"/>
      <c r="H43" s="9"/>
    </row>
    <row r="44" spans="1:8">
      <c r="A44" s="7"/>
      <c r="B44" s="9"/>
      <c r="C44" s="9"/>
      <c r="D44" s="9"/>
      <c r="E44" s="9"/>
      <c r="F44" s="9"/>
      <c r="G44" s="7"/>
      <c r="H44" s="9"/>
    </row>
    <row r="45" spans="1:8">
      <c r="A45" s="7"/>
      <c r="B45" s="9"/>
      <c r="C45" s="9"/>
      <c r="D45" s="9"/>
      <c r="E45" s="9"/>
      <c r="F45" s="9"/>
      <c r="G45" s="7"/>
      <c r="H45" s="9"/>
    </row>
    <row r="46" spans="1:8">
      <c r="A46" s="7"/>
      <c r="B46" s="9"/>
      <c r="C46" s="9"/>
      <c r="D46" s="9"/>
      <c r="E46" s="9"/>
      <c r="F46" s="9"/>
      <c r="G46" s="7"/>
      <c r="H46" s="9"/>
    </row>
    <row r="47" spans="1:8">
      <c r="A47" s="7"/>
      <c r="B47" s="9"/>
      <c r="C47" s="9"/>
      <c r="D47" s="9"/>
      <c r="E47" s="9"/>
      <c r="F47" s="9"/>
      <c r="G47" s="7"/>
      <c r="H47" s="9"/>
    </row>
    <row r="48" spans="1:8">
      <c r="A48" s="7"/>
      <c r="B48" s="9"/>
      <c r="C48" s="9"/>
      <c r="D48" s="9"/>
      <c r="E48" s="9"/>
      <c r="F48" s="9"/>
      <c r="G48" s="7"/>
      <c r="H48" s="9"/>
    </row>
    <row r="49" spans="1:8">
      <c r="A49" s="7"/>
      <c r="B49" s="9"/>
      <c r="C49" s="9"/>
      <c r="D49" s="9"/>
      <c r="E49" s="9"/>
      <c r="F49" s="9"/>
      <c r="G49" s="7"/>
      <c r="H49" s="9"/>
    </row>
    <row r="50" spans="1:8">
      <c r="A50" s="7"/>
      <c r="B50" s="9"/>
      <c r="C50" s="9"/>
      <c r="D50" s="9"/>
      <c r="E50" s="9"/>
      <c r="F50" s="9"/>
      <c r="G50" s="7"/>
      <c r="H50" s="9"/>
    </row>
    <row r="51" spans="1:8">
      <c r="A51" s="7"/>
      <c r="B51" s="9"/>
      <c r="C51" s="9"/>
      <c r="D51" s="9"/>
      <c r="E51" s="9"/>
      <c r="F51" s="9"/>
      <c r="G51" s="7"/>
      <c r="H51" s="9"/>
    </row>
    <row r="52" spans="1:8">
      <c r="A52" s="7"/>
      <c r="B52" s="9"/>
      <c r="C52" s="9"/>
      <c r="D52" s="9"/>
      <c r="E52" s="9"/>
      <c r="F52" s="9"/>
      <c r="G52" s="7"/>
      <c r="H52" s="9"/>
    </row>
    <row r="53" spans="1:8">
      <c r="A53" s="7"/>
      <c r="B53" s="9"/>
      <c r="C53" s="9"/>
      <c r="D53" s="9"/>
      <c r="E53" s="9"/>
      <c r="F53" s="9"/>
      <c r="G53" s="7"/>
      <c r="H53" s="9"/>
    </row>
    <row r="54" spans="1:8">
      <c r="A54" s="7"/>
      <c r="B54" s="9"/>
      <c r="C54" s="9"/>
      <c r="D54" s="9"/>
      <c r="E54" s="9"/>
      <c r="F54" s="9"/>
      <c r="G54" s="7"/>
      <c r="H54" s="9"/>
    </row>
    <row r="55" spans="1:8">
      <c r="A55" s="7"/>
      <c r="B55" s="9"/>
      <c r="C55" s="9"/>
      <c r="D55" s="9"/>
      <c r="E55" s="9"/>
      <c r="F55" s="9"/>
      <c r="G55" s="7"/>
      <c r="H55" s="9"/>
    </row>
    <row r="56" spans="1:8">
      <c r="A56" s="7"/>
      <c r="B56" s="9"/>
      <c r="C56" s="9"/>
      <c r="D56" s="9"/>
      <c r="E56" s="9"/>
      <c r="F56" s="9"/>
      <c r="G56" s="7"/>
      <c r="H56" s="9"/>
    </row>
    <row r="57" spans="1:8">
      <c r="A57" s="7"/>
      <c r="B57" s="9"/>
      <c r="C57" s="9"/>
      <c r="D57" s="9"/>
      <c r="E57" s="9"/>
      <c r="F57" s="9"/>
      <c r="G57" s="7"/>
      <c r="H57" s="9"/>
    </row>
    <row r="58" spans="1:8">
      <c r="A58" s="7"/>
      <c r="B58" s="9"/>
      <c r="C58" s="9"/>
      <c r="D58" s="9"/>
      <c r="E58" s="9"/>
      <c r="F58" s="9"/>
      <c r="G58" s="7"/>
      <c r="H58" s="9"/>
    </row>
    <row r="59" spans="1:8">
      <c r="A59" s="7"/>
      <c r="B59" s="9"/>
      <c r="C59" s="9"/>
      <c r="D59" s="9"/>
      <c r="E59" s="9"/>
      <c r="F59" s="9"/>
      <c r="G59" s="7"/>
      <c r="H59" s="9"/>
    </row>
    <row r="60" spans="1:8">
      <c r="A60" s="7"/>
      <c r="B60" s="9"/>
      <c r="C60" s="9"/>
      <c r="D60" s="9"/>
      <c r="E60" s="9"/>
      <c r="F60" s="9"/>
      <c r="G60" s="7"/>
      <c r="H60" s="9"/>
    </row>
    <row r="61" spans="1:8">
      <c r="A61" s="7"/>
      <c r="B61" s="9"/>
      <c r="C61" s="9"/>
      <c r="D61" s="9"/>
      <c r="E61" s="9"/>
      <c r="F61" s="9"/>
      <c r="G61" s="7"/>
      <c r="H61" s="9"/>
    </row>
    <row r="62" spans="1:8">
      <c r="A62" s="7"/>
      <c r="B62" s="9"/>
      <c r="C62" s="9"/>
      <c r="D62" s="9"/>
      <c r="E62" s="9"/>
      <c r="F62" s="9"/>
      <c r="G62" s="7"/>
      <c r="H62" s="9"/>
    </row>
    <row r="63" spans="1:8">
      <c r="A63" s="7"/>
      <c r="B63" s="9"/>
      <c r="C63" s="9"/>
      <c r="D63" s="9"/>
      <c r="E63" s="9"/>
      <c r="F63" s="9"/>
      <c r="G63" s="7"/>
      <c r="H63" s="9"/>
    </row>
    <row r="64" spans="1:8">
      <c r="A64" s="7"/>
      <c r="B64" s="9"/>
      <c r="C64" s="9"/>
      <c r="D64" s="9"/>
      <c r="E64" s="9"/>
      <c r="F64" s="9"/>
      <c r="G64" s="7"/>
      <c r="H64" s="9"/>
    </row>
    <row r="65" spans="1:8">
      <c r="A65" s="7"/>
      <c r="B65" s="9"/>
      <c r="C65" s="9"/>
      <c r="D65" s="9"/>
      <c r="E65" s="9"/>
      <c r="F65" s="9"/>
      <c r="G65" s="7"/>
      <c r="H65" s="9"/>
    </row>
    <row r="66" spans="1:8">
      <c r="A66" s="7"/>
      <c r="B66" s="9"/>
      <c r="C66" s="9"/>
      <c r="D66" s="9"/>
      <c r="E66" s="9"/>
      <c r="F66" s="9"/>
      <c r="G66" s="7"/>
      <c r="H66" s="9"/>
    </row>
    <row r="67" spans="1:8">
      <c r="A67" s="7"/>
      <c r="B67" s="9"/>
      <c r="C67" s="9"/>
      <c r="D67" s="9"/>
      <c r="E67" s="9"/>
      <c r="F67" s="9"/>
      <c r="G67" s="7"/>
      <c r="H67" s="9"/>
    </row>
    <row r="68" spans="1:8">
      <c r="A68" s="7"/>
      <c r="B68" s="9"/>
      <c r="C68" s="9"/>
      <c r="D68" s="9"/>
      <c r="E68" s="9"/>
      <c r="F68" s="9"/>
      <c r="G68" s="7"/>
      <c r="H68" s="9"/>
    </row>
    <row r="69" spans="1:8">
      <c r="A69" s="7"/>
      <c r="B69" s="9"/>
      <c r="C69" s="9"/>
      <c r="D69" s="9"/>
      <c r="E69" s="9"/>
      <c r="F69" s="9"/>
      <c r="G69" s="7"/>
      <c r="H69" s="9"/>
    </row>
    <row r="70" spans="1:8">
      <c r="A70" s="7"/>
      <c r="B70" s="9"/>
      <c r="C70" s="9"/>
      <c r="D70" s="9"/>
      <c r="E70" s="9"/>
      <c r="F70" s="9"/>
      <c r="G70" s="7"/>
      <c r="H70" s="9"/>
    </row>
    <row r="71" spans="1:8">
      <c r="A71" s="7"/>
      <c r="B71" s="9"/>
      <c r="C71" s="9"/>
      <c r="D71" s="9"/>
      <c r="E71" s="9"/>
      <c r="F71" s="9"/>
      <c r="G71" s="7"/>
      <c r="H71" s="9"/>
    </row>
    <row r="72" spans="1:8">
      <c r="A72" s="7"/>
      <c r="B72" s="9"/>
      <c r="C72" s="9"/>
      <c r="D72" s="9"/>
      <c r="E72" s="9"/>
      <c r="F72" s="9"/>
      <c r="G72" s="7"/>
      <c r="H72" s="9"/>
    </row>
    <row r="73" spans="1:8">
      <c r="A73" s="7"/>
      <c r="B73" s="9"/>
      <c r="C73" s="9"/>
      <c r="D73" s="9"/>
      <c r="E73" s="9"/>
      <c r="F73" s="9"/>
      <c r="G73" s="7"/>
      <c r="H73" s="9"/>
    </row>
    <row r="74" spans="1:8">
      <c r="A74" s="7"/>
      <c r="B74" s="9"/>
      <c r="C74" s="9"/>
      <c r="D74" s="9"/>
      <c r="E74" s="9"/>
      <c r="F74" s="9"/>
      <c r="G74" s="7"/>
      <c r="H74" s="9"/>
    </row>
    <row r="75" spans="1:8">
      <c r="A75" s="7"/>
      <c r="B75" s="9"/>
      <c r="C75" s="9"/>
      <c r="D75" s="9"/>
      <c r="E75" s="9"/>
      <c r="F75" s="9"/>
      <c r="G75" s="7"/>
      <c r="H75" s="9"/>
    </row>
    <row r="76" spans="1:8">
      <c r="A76" s="7"/>
      <c r="B76" s="9"/>
      <c r="C76" s="9"/>
      <c r="D76" s="9"/>
      <c r="E76" s="9"/>
      <c r="F76" s="9"/>
      <c r="G76" s="7"/>
      <c r="H76" s="9"/>
    </row>
    <row r="77" spans="1:8">
      <c r="A77" s="7"/>
      <c r="B77" s="9"/>
      <c r="C77" s="9"/>
      <c r="D77" s="9"/>
      <c r="E77" s="9"/>
      <c r="F77" s="9"/>
      <c r="G77" s="7"/>
      <c r="H77" s="9"/>
    </row>
    <row r="78" spans="1:8">
      <c r="A78" s="7"/>
      <c r="B78" s="9"/>
      <c r="C78" s="9"/>
      <c r="D78" s="9"/>
      <c r="E78" s="9"/>
      <c r="F78" s="9"/>
      <c r="G78" s="7"/>
      <c r="H78" s="9"/>
    </row>
    <row r="79" spans="1:8">
      <c r="A79" s="7"/>
      <c r="B79" s="9"/>
      <c r="C79" s="9"/>
      <c r="D79" s="9"/>
      <c r="E79" s="9"/>
      <c r="F79" s="9"/>
      <c r="G79" s="7"/>
      <c r="H79" s="9"/>
    </row>
    <row r="80" spans="1:8">
      <c r="A80" s="7"/>
      <c r="B80" s="9"/>
      <c r="C80" s="9"/>
      <c r="D80" s="9"/>
      <c r="E80" s="9"/>
      <c r="F80" s="9"/>
      <c r="G80" s="7"/>
      <c r="H80" s="9"/>
    </row>
    <row r="81" spans="1:8">
      <c r="A81" s="7"/>
      <c r="B81" s="9"/>
      <c r="C81" s="9"/>
      <c r="D81" s="9"/>
      <c r="E81" s="9"/>
      <c r="F81" s="9"/>
      <c r="G81" s="7"/>
      <c r="H81" s="9"/>
    </row>
    <row r="82" spans="1:8">
      <c r="A82" s="7"/>
      <c r="B82" s="9"/>
      <c r="C82" s="9"/>
      <c r="D82" s="9"/>
      <c r="E82" s="9"/>
      <c r="F82" s="9"/>
      <c r="G82" s="7"/>
      <c r="H82" s="9"/>
    </row>
    <row r="83" spans="1:8">
      <c r="A83" s="7"/>
      <c r="B83" s="9"/>
      <c r="C83" s="9"/>
      <c r="D83" s="9"/>
      <c r="E83" s="9"/>
      <c r="F83" s="9"/>
      <c r="G83" s="7"/>
      <c r="H83" s="9"/>
    </row>
    <row r="84" spans="1:8">
      <c r="A84" s="7"/>
      <c r="B84" s="9"/>
      <c r="C84" s="9"/>
      <c r="D84" s="9"/>
      <c r="E84" s="9"/>
      <c r="F84" s="9"/>
      <c r="G84" s="7"/>
      <c r="H84" s="9"/>
    </row>
    <row r="85" spans="1:8">
      <c r="A85" s="7"/>
      <c r="B85" s="9"/>
      <c r="C85" s="9"/>
      <c r="D85" s="9"/>
      <c r="E85" s="9"/>
      <c r="F85" s="9"/>
      <c r="G85" s="7"/>
      <c r="H85" s="9"/>
    </row>
    <row r="86" spans="1:8">
      <c r="A86" s="7"/>
      <c r="B86" s="9"/>
      <c r="C86" s="9"/>
      <c r="D86" s="9"/>
      <c r="E86" s="9"/>
      <c r="F86" s="9"/>
      <c r="G86" s="7"/>
      <c r="H86" s="9"/>
    </row>
    <row r="87" spans="1:8">
      <c r="A87" s="7"/>
      <c r="B87" s="9"/>
      <c r="C87" s="9"/>
      <c r="D87" s="9"/>
      <c r="E87" s="9"/>
      <c r="F87" s="9"/>
      <c r="G87" s="7"/>
      <c r="H87" s="9"/>
    </row>
    <row r="88" spans="1:8">
      <c r="A88" s="7"/>
      <c r="B88" s="9"/>
      <c r="C88" s="9"/>
      <c r="D88" s="9"/>
      <c r="E88" s="9"/>
      <c r="F88" s="9"/>
      <c r="G88" s="7"/>
      <c r="H88" s="9"/>
    </row>
    <row r="89" spans="1:8">
      <c r="A89" s="7"/>
      <c r="B89" s="9"/>
      <c r="C89" s="9"/>
      <c r="D89" s="9"/>
      <c r="E89" s="9"/>
      <c r="F89" s="9"/>
      <c r="G89" s="7"/>
      <c r="H89" s="9"/>
    </row>
    <row r="90" spans="1:8">
      <c r="A90" s="7"/>
      <c r="B90" s="9"/>
      <c r="C90" s="9"/>
      <c r="D90" s="9"/>
      <c r="E90" s="9"/>
      <c r="F90" s="9"/>
      <c r="G90" s="7"/>
      <c r="H90" s="9"/>
    </row>
    <row r="91" spans="1:8">
      <c r="A91" s="7"/>
      <c r="B91" s="9"/>
      <c r="C91" s="9"/>
      <c r="D91" s="9"/>
      <c r="E91" s="9"/>
      <c r="F91" s="9"/>
      <c r="G91" s="7"/>
      <c r="H91" s="9"/>
    </row>
    <row r="92" spans="1:8">
      <c r="A92" s="7"/>
      <c r="B92" s="9"/>
      <c r="C92" s="9"/>
      <c r="D92" s="9"/>
      <c r="E92" s="9"/>
      <c r="F92" s="9"/>
      <c r="G92" s="7"/>
      <c r="H92" s="9"/>
    </row>
    <row r="93" spans="1:8">
      <c r="A93" s="7"/>
      <c r="B93" s="9"/>
      <c r="C93" s="9"/>
      <c r="D93" s="9"/>
      <c r="E93" s="9"/>
      <c r="F93" s="9"/>
      <c r="G93" s="7"/>
      <c r="H93" s="9"/>
    </row>
    <row r="94" spans="1:8">
      <c r="A94" s="7"/>
      <c r="B94" s="9"/>
      <c r="C94" s="9"/>
      <c r="D94" s="9"/>
      <c r="E94" s="9"/>
      <c r="F94" s="9"/>
      <c r="G94" s="7"/>
      <c r="H94" s="9"/>
    </row>
    <row r="95" spans="1:8">
      <c r="A95" s="7"/>
      <c r="B95" s="9"/>
      <c r="C95" s="9"/>
      <c r="D95" s="9"/>
      <c r="E95" s="9"/>
      <c r="F95" s="9"/>
      <c r="G95" s="7"/>
      <c r="H95" s="9"/>
    </row>
    <row r="96" spans="1:8">
      <c r="A96" s="7"/>
      <c r="B96" s="9"/>
      <c r="C96" s="9"/>
      <c r="D96" s="9"/>
      <c r="E96" s="9"/>
      <c r="F96" s="9"/>
      <c r="G96" s="7"/>
      <c r="H96" s="9"/>
    </row>
    <row r="97" spans="1:8">
      <c r="A97" s="7"/>
      <c r="B97" s="9"/>
      <c r="C97" s="9"/>
      <c r="D97" s="9"/>
      <c r="E97" s="9"/>
      <c r="F97" s="9"/>
      <c r="G97" s="7"/>
      <c r="H97" s="9"/>
    </row>
    <row r="98" spans="1:8">
      <c r="A98" s="7"/>
      <c r="B98" s="9"/>
      <c r="C98" s="9"/>
      <c r="D98" s="9"/>
      <c r="E98" s="9"/>
      <c r="F98" s="9"/>
      <c r="G98" s="7"/>
      <c r="H98" s="9"/>
    </row>
    <row r="99" spans="1:8">
      <c r="A99" s="7"/>
      <c r="B99" s="9"/>
      <c r="C99" s="9"/>
      <c r="D99" s="9"/>
      <c r="E99" s="9"/>
      <c r="F99" s="9"/>
      <c r="G99" s="7"/>
      <c r="H99" s="9"/>
    </row>
    <row r="100" spans="1:8">
      <c r="A100" s="7"/>
      <c r="B100" s="9"/>
      <c r="C100" s="9"/>
      <c r="D100" s="9"/>
      <c r="E100" s="9"/>
      <c r="F100" s="9"/>
      <c r="G100" s="7"/>
      <c r="H100" s="9"/>
    </row>
    <row r="101" spans="1:8">
      <c r="A101" s="7"/>
      <c r="B101" s="9"/>
      <c r="C101" s="9"/>
      <c r="D101" s="9"/>
      <c r="E101" s="9"/>
      <c r="F101" s="9"/>
      <c r="G101" s="7"/>
      <c r="H101" s="9"/>
    </row>
  </sheetData>
  <mergeCells count="1">
    <mergeCell ref="A1:H1"/>
  </mergeCells>
  <conditionalFormatting sqref="H3:H101">
    <cfRule type="expression" dxfId="0" priority="2">
      <formula>H3="Resolved"</formula>
    </cfRule>
    <cfRule type="expression" dxfId="1" priority="3">
      <formula>H3="In Progress"</formula>
    </cfRule>
    <cfRule type="expression" dxfId="3" priority="4">
      <formula>H3="Escalated"</formula>
    </cfRule>
  </conditionalFormatting>
  <dataValidations count="2">
    <dataValidation type="list" sqref="B3:B101">
      <formula1>"Unit 1 / Phase 1,Phase 2,Phase 3,Final"</formula1>
    </dataValidation>
    <dataValidation type="list" sqref="H3:H101">
      <formula1>"Open,In Progress,Resolved,Escalated"</formula1>
    </dataValidation>
  </dataValidations>
  <pageMargins left="0.7" right="0.7" top="0.75" bottom="0.75" header="0.511811023622047" footer="0.511811023622047"/>
  <pageSetup paperSize="9" orientation="portrait" horizontalDpi="300" verticalDpi="300"/>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B14" sqref="B14"/>
    </sheetView>
  </sheetViews>
  <sheetFormatPr defaultColWidth="9" defaultRowHeight="14.5" outlineLevelCol="5"/>
  <cols>
    <col min="1" max="1" width="34" customWidth="1"/>
    <col min="2" max="2" width="58" customWidth="1"/>
    <col min="3" max="3" width="3" customWidth="1"/>
    <col min="4" max="4" width="40" customWidth="1"/>
    <col min="5" max="5" width="12" customWidth="1"/>
    <col min="6" max="6" width="3" customWidth="1"/>
  </cols>
  <sheetData>
    <row r="1" ht="19.5" customHeight="1" spans="1:6">
      <c r="A1" s="1" t="s">
        <v>186</v>
      </c>
      <c r="B1" s="1"/>
      <c r="C1" s="1"/>
      <c r="D1" s="1"/>
      <c r="E1" s="1"/>
      <c r="F1" s="1"/>
    </row>
    <row r="3" ht="14.9" customHeight="1" spans="1:6">
      <c r="A3" s="2" t="s">
        <v>187</v>
      </c>
      <c r="B3" s="2" t="s">
        <v>42</v>
      </c>
      <c r="D3" s="3" t="s">
        <v>188</v>
      </c>
      <c r="E3" s="3"/>
      <c r="F3" s="3"/>
    </row>
    <row r="4" spans="1:6">
      <c r="A4" s="4" t="s">
        <v>57</v>
      </c>
      <c r="B4" s="5" t="s">
        <v>32</v>
      </c>
      <c r="D4" s="4" t="s">
        <v>189</v>
      </c>
      <c r="E4" s="10" t="s">
        <v>94</v>
      </c>
    </row>
    <row r="5" spans="1:6">
      <c r="A5" s="4" t="s">
        <v>59</v>
      </c>
      <c r="B5" s="5" t="s">
        <v>60</v>
      </c>
      <c r="D5" s="4" t="s">
        <v>190</v>
      </c>
      <c r="E5" s="10" t="s">
        <v>94</v>
      </c>
    </row>
    <row r="6" spans="1:6">
      <c r="A6" s="4" t="s">
        <v>191</v>
      </c>
      <c r="B6" s="5" t="s">
        <v>47</v>
      </c>
      <c r="D6" s="4" t="s">
        <v>192</v>
      </c>
      <c r="E6" s="10" t="s">
        <v>94</v>
      </c>
    </row>
    <row r="7" ht="39.75" customHeight="1" spans="1:6">
      <c r="A7" s="4" t="s">
        <v>193</v>
      </c>
      <c r="B7" s="5" t="s">
        <v>194</v>
      </c>
      <c r="D7" s="4" t="s">
        <v>195</v>
      </c>
      <c r="E7" s="10" t="s">
        <v>94</v>
      </c>
    </row>
    <row r="8" ht="39.75" customHeight="1" spans="1:6">
      <c r="A8" s="4" t="s">
        <v>196</v>
      </c>
      <c r="B8" s="5" t="s">
        <v>197</v>
      </c>
      <c r="D8" s="4" t="s">
        <v>198</v>
      </c>
      <c r="E8" s="10" t="s">
        <v>94</v>
      </c>
    </row>
    <row r="9" ht="39.75" customHeight="1" spans="1:6">
      <c r="A9" s="4" t="s">
        <v>199</v>
      </c>
      <c r="B9" s="5" t="s">
        <v>200</v>
      </c>
      <c r="D9" s="4" t="s">
        <v>201</v>
      </c>
      <c r="E9" s="10" t="s">
        <v>94</v>
      </c>
    </row>
    <row r="10" ht="39.75" customHeight="1" spans="1:6">
      <c r="A10" s="4" t="s">
        <v>202</v>
      </c>
      <c r="B10" s="5" t="s">
        <v>203</v>
      </c>
      <c r="D10" s="4" t="s">
        <v>204</v>
      </c>
      <c r="E10" s="10" t="s">
        <v>94</v>
      </c>
    </row>
    <row r="11" ht="39.75" customHeight="1" spans="1:6">
      <c r="A11" s="4" t="s">
        <v>205</v>
      </c>
      <c r="B11" s="5" t="s">
        <v>206</v>
      </c>
      <c r="D11" s="4" t="s">
        <v>207</v>
      </c>
      <c r="E11" s="10" t="s">
        <v>94</v>
      </c>
    </row>
    <row r="12" ht="39.75" customHeight="1" spans="1:6">
      <c r="A12" s="4" t="s">
        <v>208</v>
      </c>
      <c r="B12" s="5" t="s">
        <v>209</v>
      </c>
      <c r="D12" s="4" t="s">
        <v>210</v>
      </c>
      <c r="E12" s="10" t="s">
        <v>94</v>
      </c>
    </row>
    <row r="13" ht="39.75" customHeight="1" spans="1:6">
      <c r="A13" s="4" t="s">
        <v>211</v>
      </c>
      <c r="B13" s="5" t="s">
        <v>212</v>
      </c>
    </row>
  </sheetData>
  <mergeCells count="2">
    <mergeCell ref="A1:F1"/>
    <mergeCell ref="D3:F3"/>
  </mergeCells>
  <conditionalFormatting sqref="E4:E12">
    <cfRule type="expression" dxfId="0" priority="2">
      <formula>E4="Yes"</formula>
    </cfRule>
    <cfRule type="expression" dxfId="3" priority="3">
      <formula>E4="No"</formula>
    </cfRule>
  </conditionalFormatting>
  <dataValidations count="3">
    <dataValidation type="list" sqref="B4">
      <formula1>"Unit 1 / Phase 1,Phase 2,Phase 3,Final"</formula1>
    </dataValidation>
    <dataValidation type="list" sqref="B6">
      <formula1>"Not Started,In Progress,Completed,Delayed,Blocked"</formula1>
    </dataValidation>
    <dataValidation type="list" sqref="E4:E12">
      <formula1>"Yes,No"</formula1>
    </dataValidation>
  </dataValidations>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1"/>
  <sheetViews>
    <sheetView workbookViewId="0">
      <selection activeCell="O18" sqref="O18"/>
    </sheetView>
  </sheetViews>
  <sheetFormatPr defaultColWidth="9" defaultRowHeight="14.5"/>
  <cols>
    <col min="1" max="1" width="13" customWidth="1"/>
    <col min="2" max="2" width="19" customWidth="1"/>
    <col min="3" max="3" width="18" customWidth="1"/>
    <col min="4" max="6" width="28" customWidth="1"/>
    <col min="7" max="7" width="42" customWidth="1"/>
    <col min="8" max="8" width="32" customWidth="1"/>
    <col min="9" max="9" width="34" customWidth="1"/>
  </cols>
  <sheetData>
    <row r="1" ht="19.5" customHeight="1" spans="1:9">
      <c r="A1" s="1" t="s">
        <v>213</v>
      </c>
      <c r="B1" s="1"/>
      <c r="C1" s="1"/>
      <c r="D1" s="1"/>
      <c r="E1" s="1"/>
      <c r="F1" s="1"/>
      <c r="G1" s="1"/>
      <c r="H1" s="1"/>
      <c r="I1" s="1"/>
    </row>
    <row r="2" ht="27.75" customHeight="1" spans="1:9">
      <c r="A2" s="2" t="s">
        <v>214</v>
      </c>
      <c r="B2" s="2" t="s">
        <v>77</v>
      </c>
      <c r="C2" s="2" t="s">
        <v>215</v>
      </c>
      <c r="D2" s="2" t="s">
        <v>3</v>
      </c>
      <c r="E2" s="2" t="s">
        <v>216</v>
      </c>
      <c r="F2" s="2" t="s">
        <v>217</v>
      </c>
      <c r="G2" s="2" t="s">
        <v>218</v>
      </c>
      <c r="H2" s="2" t="s">
        <v>219</v>
      </c>
      <c r="I2" s="2" t="s">
        <v>85</v>
      </c>
    </row>
    <row r="3" spans="1:9">
      <c r="A3" s="7"/>
      <c r="B3" s="8"/>
      <c r="C3" s="8"/>
      <c r="D3" s="9"/>
      <c r="E3" s="9"/>
      <c r="F3" s="9"/>
      <c r="G3" s="9"/>
      <c r="H3" s="9"/>
      <c r="I3" s="9"/>
    </row>
    <row r="4" ht="29" spans="1:9">
      <c r="A4" s="7">
        <v>46252</v>
      </c>
      <c r="B4" s="8" t="s">
        <v>32</v>
      </c>
      <c r="C4" s="8" t="s">
        <v>220</v>
      </c>
      <c r="D4" s="9" t="s">
        <v>221</v>
      </c>
      <c r="E4" s="9" t="s">
        <v>222</v>
      </c>
      <c r="F4" s="9" t="s">
        <v>223</v>
      </c>
      <c r="G4" s="9" t="s">
        <v>224</v>
      </c>
      <c r="H4" s="9" t="s">
        <v>225</v>
      </c>
      <c r="I4" s="9" t="s">
        <v>226</v>
      </c>
    </row>
    <row r="5" ht="29" spans="1:9">
      <c r="A5" s="7">
        <v>46260</v>
      </c>
      <c r="B5" s="8" t="s">
        <v>32</v>
      </c>
      <c r="C5" s="8" t="s">
        <v>227</v>
      </c>
      <c r="D5" s="9" t="s">
        <v>228</v>
      </c>
      <c r="E5" s="9" t="s">
        <v>222</v>
      </c>
      <c r="F5" s="9" t="s">
        <v>229</v>
      </c>
      <c r="G5" s="9" t="s">
        <v>230</v>
      </c>
      <c r="H5" s="9" t="s">
        <v>231</v>
      </c>
      <c r="I5" s="9" t="s">
        <v>232</v>
      </c>
    </row>
    <row r="6" spans="1:9">
      <c r="A6" s="7"/>
      <c r="B6" s="8"/>
      <c r="C6" s="8"/>
      <c r="D6" s="9"/>
      <c r="E6" s="9"/>
      <c r="F6" s="9"/>
      <c r="G6" s="9"/>
      <c r="H6" s="9"/>
      <c r="I6" s="9"/>
    </row>
    <row r="7" spans="1:9">
      <c r="A7" s="7"/>
      <c r="B7" s="8"/>
      <c r="C7" s="8"/>
      <c r="D7" s="9"/>
      <c r="E7" s="9"/>
      <c r="F7" s="9"/>
      <c r="G7" s="9"/>
      <c r="H7" s="9"/>
      <c r="I7" s="9"/>
    </row>
    <row r="8" spans="1:9">
      <c r="A8" s="7"/>
      <c r="B8" s="8"/>
      <c r="C8" s="8"/>
      <c r="D8" s="9"/>
      <c r="E8" s="9"/>
      <c r="F8" s="9"/>
      <c r="G8" s="9"/>
      <c r="H8" s="9"/>
      <c r="I8" s="9"/>
    </row>
    <row r="9" spans="1:9">
      <c r="A9" s="7"/>
      <c r="B9" s="8"/>
      <c r="C9" s="8"/>
      <c r="D9" s="9"/>
      <c r="E9" s="9"/>
      <c r="F9" s="9"/>
      <c r="G9" s="9"/>
      <c r="H9" s="9"/>
      <c r="I9" s="9"/>
    </row>
    <row r="10" spans="1:9">
      <c r="A10" s="7"/>
      <c r="B10" s="8"/>
      <c r="C10" s="8"/>
      <c r="D10" s="9"/>
      <c r="E10" s="9"/>
      <c r="F10" s="9"/>
      <c r="G10" s="9"/>
      <c r="H10" s="9"/>
      <c r="I10" s="9"/>
    </row>
    <row r="11" spans="1:9">
      <c r="A11" s="7"/>
      <c r="B11" s="8"/>
      <c r="C11" s="8"/>
      <c r="D11" s="9"/>
      <c r="E11" s="9"/>
      <c r="F11" s="9"/>
      <c r="G11" s="9"/>
      <c r="H11" s="9"/>
      <c r="I11" s="9"/>
    </row>
    <row r="12" spans="1:9">
      <c r="A12" s="7"/>
      <c r="B12" s="8"/>
      <c r="C12" s="8"/>
      <c r="D12" s="9"/>
      <c r="E12" s="9"/>
      <c r="F12" s="9"/>
      <c r="G12" s="9"/>
      <c r="H12" s="9"/>
      <c r="I12" s="9"/>
    </row>
    <row r="13" spans="1:9">
      <c r="A13" s="7"/>
      <c r="B13" s="8"/>
      <c r="C13" s="8"/>
      <c r="D13" s="9"/>
      <c r="E13" s="9"/>
      <c r="F13" s="9"/>
      <c r="G13" s="9"/>
      <c r="H13" s="9"/>
      <c r="I13" s="9"/>
    </row>
    <row r="14" spans="1:9">
      <c r="A14" s="7"/>
      <c r="B14" s="8"/>
      <c r="C14" s="8"/>
      <c r="D14" s="9"/>
      <c r="E14" s="9"/>
      <c r="F14" s="9"/>
      <c r="G14" s="9"/>
      <c r="H14" s="9"/>
      <c r="I14" s="9"/>
    </row>
    <row r="15" spans="1:9">
      <c r="A15" s="7"/>
      <c r="B15" s="8"/>
      <c r="C15" s="8"/>
      <c r="D15" s="9"/>
      <c r="E15" s="9"/>
      <c r="F15" s="9"/>
      <c r="G15" s="9"/>
      <c r="H15" s="9"/>
      <c r="I15" s="9"/>
    </row>
    <row r="16" spans="1:9">
      <c r="A16" s="7"/>
      <c r="B16" s="8"/>
      <c r="C16" s="8"/>
      <c r="D16" s="9"/>
      <c r="E16" s="9"/>
      <c r="F16" s="9"/>
      <c r="G16" s="9"/>
      <c r="H16" s="9"/>
      <c r="I16" s="9"/>
    </row>
    <row r="17" spans="1:9">
      <c r="A17" s="7"/>
      <c r="B17" s="8"/>
      <c r="C17" s="8"/>
      <c r="D17" s="9"/>
      <c r="E17" s="9"/>
      <c r="F17" s="9"/>
      <c r="G17" s="9"/>
      <c r="H17" s="9"/>
      <c r="I17" s="9"/>
    </row>
    <row r="18" spans="1:9">
      <c r="A18" s="7"/>
      <c r="B18" s="8"/>
      <c r="C18" s="8"/>
      <c r="D18" s="9"/>
      <c r="E18" s="9"/>
      <c r="F18" s="9"/>
      <c r="G18" s="9"/>
      <c r="H18" s="9"/>
      <c r="I18" s="9"/>
    </row>
    <row r="19" spans="1:9">
      <c r="A19" s="7"/>
      <c r="B19" s="8"/>
      <c r="C19" s="8"/>
      <c r="D19" s="9"/>
      <c r="E19" s="9"/>
      <c r="F19" s="9"/>
      <c r="G19" s="9"/>
      <c r="H19" s="9"/>
      <c r="I19" s="9"/>
    </row>
    <row r="20" spans="1:9">
      <c r="A20" s="7"/>
      <c r="B20" s="8"/>
      <c r="C20" s="8"/>
      <c r="D20" s="9"/>
      <c r="E20" s="9"/>
      <c r="F20" s="9"/>
      <c r="G20" s="9"/>
      <c r="H20" s="9"/>
      <c r="I20" s="9"/>
    </row>
    <row r="21" spans="1:9">
      <c r="A21" s="7"/>
      <c r="B21" s="8"/>
      <c r="C21" s="8"/>
      <c r="D21" s="9"/>
      <c r="E21" s="9"/>
      <c r="F21" s="9"/>
      <c r="G21" s="9"/>
      <c r="H21" s="9"/>
      <c r="I21" s="9"/>
    </row>
    <row r="22" spans="1:9">
      <c r="A22" s="7"/>
      <c r="B22" s="8"/>
      <c r="C22" s="8"/>
      <c r="D22" s="9"/>
      <c r="E22" s="9"/>
      <c r="F22" s="9"/>
      <c r="G22" s="9"/>
      <c r="H22" s="9"/>
      <c r="I22" s="9"/>
    </row>
    <row r="23" spans="1:9">
      <c r="A23" s="7"/>
      <c r="B23" s="8"/>
      <c r="C23" s="8"/>
      <c r="D23" s="9"/>
      <c r="E23" s="9"/>
      <c r="F23" s="9"/>
      <c r="G23" s="9"/>
      <c r="H23" s="9"/>
      <c r="I23" s="9"/>
    </row>
    <row r="24" spans="1:9">
      <c r="A24" s="7"/>
      <c r="B24" s="8"/>
      <c r="C24" s="8"/>
      <c r="D24" s="9"/>
      <c r="E24" s="9"/>
      <c r="F24" s="9"/>
      <c r="G24" s="9"/>
      <c r="H24" s="9"/>
      <c r="I24" s="9"/>
    </row>
    <row r="25" spans="1:9">
      <c r="A25" s="7"/>
      <c r="B25" s="8"/>
      <c r="C25" s="8"/>
      <c r="D25" s="9"/>
      <c r="E25" s="9"/>
      <c r="F25" s="9"/>
      <c r="G25" s="9"/>
      <c r="H25" s="9"/>
      <c r="I25" s="9"/>
    </row>
    <row r="26" spans="1:9">
      <c r="A26" s="7"/>
      <c r="B26" s="8"/>
      <c r="C26" s="8"/>
      <c r="D26" s="9"/>
      <c r="E26" s="9"/>
      <c r="F26" s="9"/>
      <c r="G26" s="9"/>
      <c r="H26" s="9"/>
      <c r="I26" s="9"/>
    </row>
    <row r="27" spans="1:9">
      <c r="A27" s="7"/>
      <c r="B27" s="8"/>
      <c r="C27" s="8"/>
      <c r="D27" s="9"/>
      <c r="E27" s="9"/>
      <c r="F27" s="9"/>
      <c r="G27" s="9"/>
      <c r="H27" s="9"/>
      <c r="I27" s="9"/>
    </row>
    <row r="28" spans="1:9">
      <c r="A28" s="7"/>
      <c r="B28" s="8"/>
      <c r="C28" s="8"/>
      <c r="D28" s="9"/>
      <c r="E28" s="9"/>
      <c r="F28" s="9"/>
      <c r="G28" s="9"/>
      <c r="H28" s="9"/>
      <c r="I28" s="9"/>
    </row>
    <row r="29" spans="1:9">
      <c r="A29" s="7"/>
      <c r="B29" s="8"/>
      <c r="C29" s="8"/>
      <c r="D29" s="9"/>
      <c r="E29" s="9"/>
      <c r="F29" s="9"/>
      <c r="G29" s="9"/>
      <c r="H29" s="9"/>
      <c r="I29" s="9"/>
    </row>
    <row r="30" spans="1:9">
      <c r="A30" s="7"/>
      <c r="B30" s="8"/>
      <c r="C30" s="8"/>
      <c r="D30" s="9"/>
      <c r="E30" s="9"/>
      <c r="F30" s="9"/>
      <c r="G30" s="9"/>
      <c r="H30" s="9"/>
      <c r="I30" s="9"/>
    </row>
    <row r="31" spans="1:9">
      <c r="A31" s="7"/>
      <c r="B31" s="8"/>
      <c r="C31" s="8"/>
      <c r="D31" s="9"/>
      <c r="E31" s="9"/>
      <c r="F31" s="9"/>
      <c r="G31" s="9"/>
      <c r="H31" s="9"/>
      <c r="I31" s="9"/>
    </row>
    <row r="32" spans="1:9">
      <c r="A32" s="7"/>
      <c r="B32" s="8"/>
      <c r="C32" s="8"/>
      <c r="D32" s="9"/>
      <c r="E32" s="9"/>
      <c r="F32" s="9"/>
      <c r="G32" s="9"/>
      <c r="H32" s="9"/>
      <c r="I32" s="9"/>
    </row>
    <row r="33" spans="1:9">
      <c r="A33" s="7"/>
      <c r="B33" s="8"/>
      <c r="C33" s="8"/>
      <c r="D33" s="9"/>
      <c r="E33" s="9"/>
      <c r="F33" s="9"/>
      <c r="G33" s="9"/>
      <c r="H33" s="9"/>
      <c r="I33" s="9"/>
    </row>
    <row r="34" spans="1:9">
      <c r="A34" s="7"/>
      <c r="B34" s="8"/>
      <c r="C34" s="8"/>
      <c r="D34" s="9"/>
      <c r="E34" s="9"/>
      <c r="F34" s="9"/>
      <c r="G34" s="9"/>
      <c r="H34" s="9"/>
      <c r="I34" s="9"/>
    </row>
    <row r="35" spans="1:9">
      <c r="A35" s="7"/>
      <c r="B35" s="8"/>
      <c r="C35" s="8"/>
      <c r="D35" s="9"/>
      <c r="E35" s="9"/>
      <c r="F35" s="9"/>
      <c r="G35" s="9"/>
      <c r="H35" s="9"/>
      <c r="I35" s="9"/>
    </row>
    <row r="36" spans="1:9">
      <c r="A36" s="7"/>
      <c r="B36" s="8"/>
      <c r="C36" s="8"/>
      <c r="D36" s="9"/>
      <c r="E36" s="9"/>
      <c r="F36" s="9"/>
      <c r="G36" s="9"/>
      <c r="H36" s="9"/>
      <c r="I36" s="9"/>
    </row>
    <row r="37" spans="1:9">
      <c r="A37" s="7"/>
      <c r="B37" s="8"/>
      <c r="C37" s="8"/>
      <c r="D37" s="9"/>
      <c r="E37" s="9"/>
      <c r="F37" s="9"/>
      <c r="G37" s="9"/>
      <c r="H37" s="9"/>
      <c r="I37" s="9"/>
    </row>
    <row r="38" spans="1:9">
      <c r="A38" s="7"/>
      <c r="B38" s="8"/>
      <c r="C38" s="8"/>
      <c r="D38" s="9"/>
      <c r="E38" s="9"/>
      <c r="F38" s="9"/>
      <c r="G38" s="9"/>
      <c r="H38" s="9"/>
      <c r="I38" s="9"/>
    </row>
    <row r="39" spans="1:9">
      <c r="A39" s="7"/>
      <c r="B39" s="8"/>
      <c r="C39" s="8"/>
      <c r="D39" s="9"/>
      <c r="E39" s="9"/>
      <c r="F39" s="9"/>
      <c r="G39" s="9"/>
      <c r="H39" s="9"/>
      <c r="I39" s="9"/>
    </row>
    <row r="40" spans="1:9">
      <c r="A40" s="7"/>
      <c r="B40" s="8"/>
      <c r="C40" s="8"/>
      <c r="D40" s="9"/>
      <c r="E40" s="9"/>
      <c r="F40" s="9"/>
      <c r="G40" s="9"/>
      <c r="H40" s="9"/>
      <c r="I40" s="9"/>
    </row>
    <row r="41" spans="1:9">
      <c r="A41" s="7"/>
      <c r="B41" s="8"/>
      <c r="C41" s="8"/>
      <c r="D41" s="9"/>
      <c r="E41" s="9"/>
      <c r="F41" s="9"/>
      <c r="G41" s="9"/>
      <c r="H41" s="9"/>
      <c r="I41" s="9"/>
    </row>
    <row r="42" spans="1:9">
      <c r="A42" s="7"/>
      <c r="B42" s="8"/>
      <c r="C42" s="8"/>
      <c r="D42" s="9"/>
      <c r="E42" s="9"/>
      <c r="F42" s="9"/>
      <c r="G42" s="9"/>
      <c r="H42" s="9"/>
      <c r="I42" s="9"/>
    </row>
    <row r="43" spans="1:9">
      <c r="A43" s="7"/>
      <c r="B43" s="8"/>
      <c r="C43" s="8"/>
      <c r="D43" s="9"/>
      <c r="E43" s="9"/>
      <c r="F43" s="9"/>
      <c r="G43" s="9"/>
      <c r="H43" s="9"/>
      <c r="I43" s="9"/>
    </row>
    <row r="44" spans="1:9">
      <c r="A44" s="7"/>
      <c r="B44" s="8"/>
      <c r="C44" s="8"/>
      <c r="D44" s="9"/>
      <c r="E44" s="9"/>
      <c r="F44" s="9"/>
      <c r="G44" s="9"/>
      <c r="H44" s="9"/>
      <c r="I44" s="9"/>
    </row>
    <row r="45" spans="1:9">
      <c r="A45" s="7"/>
      <c r="B45" s="8"/>
      <c r="C45" s="8"/>
      <c r="D45" s="9"/>
      <c r="E45" s="9"/>
      <c r="F45" s="9"/>
      <c r="G45" s="9"/>
      <c r="H45" s="9"/>
      <c r="I45" s="9"/>
    </row>
    <row r="46" spans="1:9">
      <c r="A46" s="7"/>
      <c r="B46" s="8"/>
      <c r="C46" s="8"/>
      <c r="D46" s="9"/>
      <c r="E46" s="9"/>
      <c r="F46" s="9"/>
      <c r="G46" s="9"/>
      <c r="H46" s="9"/>
      <c r="I46" s="9"/>
    </row>
    <row r="47" spans="1:9">
      <c r="A47" s="7"/>
      <c r="B47" s="8"/>
      <c r="C47" s="8"/>
      <c r="D47" s="9"/>
      <c r="E47" s="9"/>
      <c r="F47" s="9"/>
      <c r="G47" s="9"/>
      <c r="H47" s="9"/>
      <c r="I47" s="9"/>
    </row>
    <row r="48" spans="1:9">
      <c r="A48" s="7"/>
      <c r="B48" s="8"/>
      <c r="C48" s="8"/>
      <c r="D48" s="9"/>
      <c r="E48" s="9"/>
      <c r="F48" s="9"/>
      <c r="G48" s="9"/>
      <c r="H48" s="9"/>
      <c r="I48" s="9"/>
    </row>
    <row r="49" spans="1:9">
      <c r="A49" s="7"/>
      <c r="B49" s="8"/>
      <c r="C49" s="8"/>
      <c r="D49" s="9"/>
      <c r="E49" s="9"/>
      <c r="F49" s="9"/>
      <c r="G49" s="9"/>
      <c r="H49" s="9"/>
      <c r="I49" s="9"/>
    </row>
    <row r="50" spans="1:9">
      <c r="A50" s="7"/>
      <c r="B50" s="8"/>
      <c r="C50" s="8"/>
      <c r="D50" s="9"/>
      <c r="E50" s="9"/>
      <c r="F50" s="9"/>
      <c r="G50" s="9"/>
      <c r="H50" s="9"/>
      <c r="I50" s="9"/>
    </row>
    <row r="51" spans="1:9">
      <c r="A51" s="7"/>
      <c r="B51" s="8"/>
      <c r="C51" s="8"/>
      <c r="D51" s="9"/>
      <c r="E51" s="9"/>
      <c r="F51" s="9"/>
      <c r="G51" s="9"/>
      <c r="H51" s="9"/>
      <c r="I51" s="9"/>
    </row>
    <row r="52" spans="1:9">
      <c r="A52" s="7"/>
      <c r="B52" s="8"/>
      <c r="C52" s="8"/>
      <c r="D52" s="9"/>
      <c r="E52" s="9"/>
      <c r="F52" s="9"/>
      <c r="G52" s="9"/>
      <c r="H52" s="9"/>
      <c r="I52" s="9"/>
    </row>
    <row r="53" spans="1:9">
      <c r="A53" s="7"/>
      <c r="B53" s="8"/>
      <c r="C53" s="8"/>
      <c r="D53" s="9"/>
      <c r="E53" s="9"/>
      <c r="F53" s="9"/>
      <c r="G53" s="9"/>
      <c r="H53" s="9"/>
      <c r="I53" s="9"/>
    </row>
    <row r="54" spans="1:9">
      <c r="A54" s="7"/>
      <c r="B54" s="8"/>
      <c r="C54" s="8"/>
      <c r="D54" s="9"/>
      <c r="E54" s="9"/>
      <c r="F54" s="9"/>
      <c r="G54" s="9"/>
      <c r="H54" s="9"/>
      <c r="I54" s="9"/>
    </row>
    <row r="55" spans="1:9">
      <c r="A55" s="7"/>
      <c r="B55" s="8"/>
      <c r="C55" s="8"/>
      <c r="D55" s="9"/>
      <c r="E55" s="9"/>
      <c r="F55" s="9"/>
      <c r="G55" s="9"/>
      <c r="H55" s="9"/>
      <c r="I55" s="9"/>
    </row>
    <row r="56" spans="1:9">
      <c r="A56" s="7"/>
      <c r="B56" s="8"/>
      <c r="C56" s="8"/>
      <c r="D56" s="9"/>
      <c r="E56" s="9"/>
      <c r="F56" s="9"/>
      <c r="G56" s="9"/>
      <c r="H56" s="9"/>
      <c r="I56" s="9"/>
    </row>
    <row r="57" spans="1:9">
      <c r="A57" s="7"/>
      <c r="B57" s="8"/>
      <c r="C57" s="8"/>
      <c r="D57" s="9"/>
      <c r="E57" s="9"/>
      <c r="F57" s="9"/>
      <c r="G57" s="9"/>
      <c r="H57" s="9"/>
      <c r="I57" s="9"/>
    </row>
    <row r="58" spans="1:9">
      <c r="A58" s="7"/>
      <c r="B58" s="8"/>
      <c r="C58" s="8"/>
      <c r="D58" s="9"/>
      <c r="E58" s="9"/>
      <c r="F58" s="9"/>
      <c r="G58" s="9"/>
      <c r="H58" s="9"/>
      <c r="I58" s="9"/>
    </row>
    <row r="59" spans="1:9">
      <c r="A59" s="7"/>
      <c r="B59" s="8"/>
      <c r="C59" s="8"/>
      <c r="D59" s="9"/>
      <c r="E59" s="9"/>
      <c r="F59" s="9"/>
      <c r="G59" s="9"/>
      <c r="H59" s="9"/>
      <c r="I59" s="9"/>
    </row>
    <row r="60" spans="1:9">
      <c r="A60" s="7"/>
      <c r="B60" s="8"/>
      <c r="C60" s="8"/>
      <c r="D60" s="9"/>
      <c r="E60" s="9"/>
      <c r="F60" s="9"/>
      <c r="G60" s="9"/>
      <c r="H60" s="9"/>
      <c r="I60" s="9"/>
    </row>
    <row r="61" spans="1:9">
      <c r="A61" s="7"/>
      <c r="B61" s="8"/>
      <c r="C61" s="8"/>
      <c r="D61" s="9"/>
      <c r="E61" s="9"/>
      <c r="F61" s="9"/>
      <c r="G61" s="9"/>
      <c r="H61" s="9"/>
      <c r="I61" s="9"/>
    </row>
    <row r="62" spans="1:9">
      <c r="A62" s="7"/>
      <c r="B62" s="8"/>
      <c r="C62" s="8"/>
      <c r="D62" s="9"/>
      <c r="E62" s="9"/>
      <c r="F62" s="9"/>
      <c r="G62" s="9"/>
      <c r="H62" s="9"/>
      <c r="I62" s="9"/>
    </row>
    <row r="63" spans="1:9">
      <c r="A63" s="7"/>
      <c r="B63" s="8"/>
      <c r="C63" s="8"/>
      <c r="D63" s="9"/>
      <c r="E63" s="9"/>
      <c r="F63" s="9"/>
      <c r="G63" s="9"/>
      <c r="H63" s="9"/>
      <c r="I63" s="9"/>
    </row>
    <row r="64" spans="1:9">
      <c r="A64" s="7"/>
      <c r="B64" s="8"/>
      <c r="C64" s="8"/>
      <c r="D64" s="9"/>
      <c r="E64" s="9"/>
      <c r="F64" s="9"/>
      <c r="G64" s="9"/>
      <c r="H64" s="9"/>
      <c r="I64" s="9"/>
    </row>
    <row r="65" spans="1:9">
      <c r="A65" s="7"/>
      <c r="B65" s="8"/>
      <c r="C65" s="8"/>
      <c r="D65" s="9"/>
      <c r="E65" s="9"/>
      <c r="F65" s="9"/>
      <c r="G65" s="9"/>
      <c r="H65" s="9"/>
      <c r="I65" s="9"/>
    </row>
    <row r="66" spans="1:9">
      <c r="A66" s="7"/>
      <c r="B66" s="8"/>
      <c r="C66" s="8"/>
      <c r="D66" s="9"/>
      <c r="E66" s="9"/>
      <c r="F66" s="9"/>
      <c r="G66" s="9"/>
      <c r="H66" s="9"/>
      <c r="I66" s="9"/>
    </row>
    <row r="67" spans="1:9">
      <c r="A67" s="7"/>
      <c r="B67" s="8"/>
      <c r="C67" s="8"/>
      <c r="D67" s="9"/>
      <c r="E67" s="9"/>
      <c r="F67" s="9"/>
      <c r="G67" s="9"/>
      <c r="H67" s="9"/>
      <c r="I67" s="9"/>
    </row>
    <row r="68" spans="1:9">
      <c r="A68" s="7"/>
      <c r="B68" s="8"/>
      <c r="C68" s="8"/>
      <c r="D68" s="9"/>
      <c r="E68" s="9"/>
      <c r="F68" s="9"/>
      <c r="G68" s="9"/>
      <c r="H68" s="9"/>
      <c r="I68" s="9"/>
    </row>
    <row r="69" spans="1:9">
      <c r="A69" s="7"/>
      <c r="B69" s="8"/>
      <c r="C69" s="8"/>
      <c r="D69" s="9"/>
      <c r="E69" s="9"/>
      <c r="F69" s="9"/>
      <c r="G69" s="9"/>
      <c r="H69" s="9"/>
      <c r="I69" s="9"/>
    </row>
    <row r="70" spans="1:9">
      <c r="A70" s="7"/>
      <c r="B70" s="8"/>
      <c r="C70" s="8"/>
      <c r="D70" s="9"/>
      <c r="E70" s="9"/>
      <c r="F70" s="9"/>
      <c r="G70" s="9"/>
      <c r="H70" s="9"/>
      <c r="I70" s="9"/>
    </row>
    <row r="71" spans="1:9">
      <c r="A71" s="7"/>
      <c r="B71" s="8"/>
      <c r="C71" s="8"/>
      <c r="D71" s="9"/>
      <c r="E71" s="9"/>
      <c r="F71" s="9"/>
      <c r="G71" s="9"/>
      <c r="H71" s="9"/>
      <c r="I71" s="9"/>
    </row>
    <row r="72" spans="1:9">
      <c r="A72" s="7"/>
      <c r="B72" s="8"/>
      <c r="C72" s="8"/>
      <c r="D72" s="9"/>
      <c r="E72" s="9"/>
      <c r="F72" s="9"/>
      <c r="G72" s="9"/>
      <c r="H72" s="9"/>
      <c r="I72" s="9"/>
    </row>
    <row r="73" spans="1:9">
      <c r="A73" s="7"/>
      <c r="B73" s="8"/>
      <c r="C73" s="8"/>
      <c r="D73" s="9"/>
      <c r="E73" s="9"/>
      <c r="F73" s="9"/>
      <c r="G73" s="9"/>
      <c r="H73" s="9"/>
      <c r="I73" s="9"/>
    </row>
    <row r="74" spans="1:9">
      <c r="A74" s="7"/>
      <c r="B74" s="8"/>
      <c r="C74" s="8"/>
      <c r="D74" s="9"/>
      <c r="E74" s="9"/>
      <c r="F74" s="9"/>
      <c r="G74" s="9"/>
      <c r="H74" s="9"/>
      <c r="I74" s="9"/>
    </row>
    <row r="75" spans="1:9">
      <c r="A75" s="7"/>
      <c r="B75" s="8"/>
      <c r="C75" s="8"/>
      <c r="D75" s="9"/>
      <c r="E75" s="9"/>
      <c r="F75" s="9"/>
      <c r="G75" s="9"/>
      <c r="H75" s="9"/>
      <c r="I75" s="9"/>
    </row>
    <row r="76" spans="1:9">
      <c r="A76" s="7"/>
      <c r="B76" s="8"/>
      <c r="C76" s="8"/>
      <c r="D76" s="9"/>
      <c r="E76" s="9"/>
      <c r="F76" s="9"/>
      <c r="G76" s="9"/>
      <c r="H76" s="9"/>
      <c r="I76" s="9"/>
    </row>
    <row r="77" spans="1:9">
      <c r="A77" s="7"/>
      <c r="B77" s="8"/>
      <c r="C77" s="8"/>
      <c r="D77" s="9"/>
      <c r="E77" s="9"/>
      <c r="F77" s="9"/>
      <c r="G77" s="9"/>
      <c r="H77" s="9"/>
      <c r="I77" s="9"/>
    </row>
    <row r="78" spans="1:9">
      <c r="A78" s="7"/>
      <c r="B78" s="8"/>
      <c r="C78" s="8"/>
      <c r="D78" s="9"/>
      <c r="E78" s="9"/>
      <c r="F78" s="9"/>
      <c r="G78" s="9"/>
      <c r="H78" s="9"/>
      <c r="I78" s="9"/>
    </row>
    <row r="79" spans="1:9">
      <c r="A79" s="7"/>
      <c r="B79" s="8"/>
      <c r="C79" s="8"/>
      <c r="D79" s="9"/>
      <c r="E79" s="9"/>
      <c r="F79" s="9"/>
      <c r="G79" s="9"/>
      <c r="H79" s="9"/>
      <c r="I79" s="9"/>
    </row>
    <row r="80" spans="1:9">
      <c r="A80" s="7"/>
      <c r="B80" s="8"/>
      <c r="C80" s="8"/>
      <c r="D80" s="9"/>
      <c r="E80" s="9"/>
      <c r="F80" s="9"/>
      <c r="G80" s="9"/>
      <c r="H80" s="9"/>
      <c r="I80" s="9"/>
    </row>
    <row r="81" spans="1:9">
      <c r="A81" s="7"/>
      <c r="B81" s="8"/>
      <c r="C81" s="8"/>
      <c r="D81" s="9"/>
      <c r="E81" s="9"/>
      <c r="F81" s="9"/>
      <c r="G81" s="9"/>
      <c r="H81" s="9"/>
      <c r="I81" s="9"/>
    </row>
    <row r="82" spans="1:9">
      <c r="A82" s="7"/>
      <c r="B82" s="8"/>
      <c r="C82" s="8"/>
      <c r="D82" s="9"/>
      <c r="E82" s="9"/>
      <c r="F82" s="9"/>
      <c r="G82" s="9"/>
      <c r="H82" s="9"/>
      <c r="I82" s="9"/>
    </row>
    <row r="83" spans="1:9">
      <c r="A83" s="7"/>
      <c r="B83" s="8"/>
      <c r="C83" s="8"/>
      <c r="D83" s="9"/>
      <c r="E83" s="9"/>
      <c r="F83" s="9"/>
      <c r="G83" s="9"/>
      <c r="H83" s="9"/>
      <c r="I83" s="9"/>
    </row>
    <row r="84" spans="1:9">
      <c r="A84" s="7"/>
      <c r="B84" s="8"/>
      <c r="C84" s="8"/>
      <c r="D84" s="9"/>
      <c r="E84" s="9"/>
      <c r="F84" s="9"/>
      <c r="G84" s="9"/>
      <c r="H84" s="9"/>
      <c r="I84" s="9"/>
    </row>
    <row r="85" spans="1:9">
      <c r="A85" s="7"/>
      <c r="B85" s="8"/>
      <c r="C85" s="8"/>
      <c r="D85" s="9"/>
      <c r="E85" s="9"/>
      <c r="F85" s="9"/>
      <c r="G85" s="9"/>
      <c r="H85" s="9"/>
      <c r="I85" s="9"/>
    </row>
    <row r="86" spans="1:9">
      <c r="A86" s="7"/>
      <c r="B86" s="8"/>
      <c r="C86" s="8"/>
      <c r="D86" s="9"/>
      <c r="E86" s="9"/>
      <c r="F86" s="9"/>
      <c r="G86" s="9"/>
      <c r="H86" s="9"/>
      <c r="I86" s="9"/>
    </row>
    <row r="87" spans="1:9">
      <c r="A87" s="7"/>
      <c r="B87" s="8"/>
      <c r="C87" s="8"/>
      <c r="D87" s="9"/>
      <c r="E87" s="9"/>
      <c r="F87" s="9"/>
      <c r="G87" s="9"/>
      <c r="H87" s="9"/>
      <c r="I87" s="9"/>
    </row>
    <row r="88" spans="1:9">
      <c r="A88" s="7"/>
      <c r="B88" s="8"/>
      <c r="C88" s="8"/>
      <c r="D88" s="9"/>
      <c r="E88" s="9"/>
      <c r="F88" s="9"/>
      <c r="G88" s="9"/>
      <c r="H88" s="9"/>
      <c r="I88" s="9"/>
    </row>
    <row r="89" spans="1:9">
      <c r="A89" s="7"/>
      <c r="B89" s="8"/>
      <c r="C89" s="8"/>
      <c r="D89" s="9"/>
      <c r="E89" s="9"/>
      <c r="F89" s="9"/>
      <c r="G89" s="9"/>
      <c r="H89" s="9"/>
      <c r="I89" s="9"/>
    </row>
    <row r="90" spans="1:9">
      <c r="A90" s="7"/>
      <c r="B90" s="8"/>
      <c r="C90" s="8"/>
      <c r="D90" s="9"/>
      <c r="E90" s="9"/>
      <c r="F90" s="9"/>
      <c r="G90" s="9"/>
      <c r="H90" s="9"/>
      <c r="I90" s="9"/>
    </row>
    <row r="91" spans="1:9">
      <c r="A91" s="7"/>
      <c r="B91" s="8"/>
      <c r="C91" s="8"/>
      <c r="D91" s="9"/>
      <c r="E91" s="9"/>
      <c r="F91" s="9"/>
      <c r="G91" s="9"/>
      <c r="H91" s="9"/>
      <c r="I91" s="9"/>
    </row>
    <row r="92" spans="1:9">
      <c r="A92" s="7"/>
      <c r="B92" s="8"/>
      <c r="C92" s="8"/>
      <c r="D92" s="9"/>
      <c r="E92" s="9"/>
      <c r="F92" s="9"/>
      <c r="G92" s="9"/>
      <c r="H92" s="9"/>
      <c r="I92" s="9"/>
    </row>
    <row r="93" spans="1:9">
      <c r="A93" s="7"/>
      <c r="B93" s="8"/>
      <c r="C93" s="8"/>
      <c r="D93" s="9"/>
      <c r="E93" s="9"/>
      <c r="F93" s="9"/>
      <c r="G93" s="9"/>
      <c r="H93" s="9"/>
      <c r="I93" s="9"/>
    </row>
    <row r="94" spans="1:9">
      <c r="A94" s="7"/>
      <c r="B94" s="8"/>
      <c r="C94" s="8"/>
      <c r="D94" s="9"/>
      <c r="E94" s="9"/>
      <c r="F94" s="9"/>
      <c r="G94" s="9"/>
      <c r="H94" s="9"/>
      <c r="I94" s="9"/>
    </row>
    <row r="95" spans="1:9">
      <c r="A95" s="7"/>
      <c r="B95" s="8"/>
      <c r="C95" s="8"/>
      <c r="D95" s="9"/>
      <c r="E95" s="9"/>
      <c r="F95" s="9"/>
      <c r="G95" s="9"/>
      <c r="H95" s="9"/>
      <c r="I95" s="9"/>
    </row>
    <row r="96" spans="1:9">
      <c r="A96" s="7"/>
      <c r="B96" s="8"/>
      <c r="C96" s="8"/>
      <c r="D96" s="9"/>
      <c r="E96" s="9"/>
      <c r="F96" s="9"/>
      <c r="G96" s="9"/>
      <c r="H96" s="9"/>
      <c r="I96" s="9"/>
    </row>
    <row r="97" spans="1:9">
      <c r="A97" s="7"/>
      <c r="B97" s="8"/>
      <c r="C97" s="8"/>
      <c r="D97" s="9"/>
      <c r="E97" s="9"/>
      <c r="F97" s="9"/>
      <c r="G97" s="9"/>
      <c r="H97" s="9"/>
      <c r="I97" s="9"/>
    </row>
    <row r="98" spans="1:9">
      <c r="A98" s="7"/>
      <c r="B98" s="8"/>
      <c r="C98" s="8"/>
      <c r="D98" s="9"/>
      <c r="E98" s="9"/>
      <c r="F98" s="9"/>
      <c r="G98" s="9"/>
      <c r="H98" s="9"/>
      <c r="I98" s="9"/>
    </row>
    <row r="99" spans="1:9">
      <c r="A99" s="7"/>
      <c r="B99" s="8"/>
      <c r="C99" s="8"/>
      <c r="D99" s="9"/>
      <c r="E99" s="9"/>
      <c r="F99" s="9"/>
      <c r="G99" s="9"/>
      <c r="H99" s="9"/>
      <c r="I99" s="9"/>
    </row>
    <row r="100" spans="1:9">
      <c r="A100" s="7"/>
      <c r="B100" s="8"/>
      <c r="C100" s="8"/>
      <c r="D100" s="9"/>
      <c r="E100" s="9"/>
      <c r="F100" s="9"/>
      <c r="G100" s="9"/>
      <c r="H100" s="9"/>
      <c r="I100" s="9"/>
    </row>
    <row r="101" spans="1:9">
      <c r="A101" s="7"/>
      <c r="B101" s="8"/>
      <c r="C101" s="8"/>
      <c r="D101" s="9"/>
      <c r="E101" s="9"/>
      <c r="F101" s="9"/>
      <c r="G101" s="9"/>
      <c r="H101" s="9"/>
      <c r="I101" s="9"/>
    </row>
  </sheetData>
  <mergeCells count="1">
    <mergeCell ref="A1:I1"/>
  </mergeCells>
  <dataValidations count="2">
    <dataValidation type="list" sqref="B3:B101">
      <formula1>"Unit 1 / Phase 1,Phase 2,Phase 3,Final"</formula1>
    </dataValidation>
    <dataValidation type="list" sqref="C3:C101">
      <formula1>"Meeting,Telephone Call,Online Meeting,Email,Site Visit,Other"</formula1>
    </dataValidation>
  </dataValidations>
  <pageMargins left="0.7" right="0.7" top="0.75" bottom="0.75" header="0.511811023622047" footer="0.511811023622047"/>
  <pageSetup paperSize="9" orientation="portrait" horizontalDpi="300" verticalDpi="300"/>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tabSelected="1" workbookViewId="0">
      <selection activeCell="D5" sqref="D5"/>
    </sheetView>
  </sheetViews>
  <sheetFormatPr defaultColWidth="9" defaultRowHeight="14.5" outlineLevelCol="5"/>
  <cols>
    <col min="1" max="1" width="38" customWidth="1"/>
    <col min="2" max="2" width="62" customWidth="1"/>
    <col min="3" max="3" width="3" customWidth="1"/>
    <col min="4" max="4" width="20" customWidth="1"/>
    <col min="5" max="5" width="48" customWidth="1"/>
    <col min="6" max="6" width="3" customWidth="1"/>
  </cols>
  <sheetData>
    <row r="1" ht="19.5" customHeight="1" spans="1:6">
      <c r="A1" s="1" t="s">
        <v>29</v>
      </c>
      <c r="B1" s="1"/>
      <c r="C1" s="1"/>
      <c r="D1" s="1"/>
      <c r="E1" s="1"/>
      <c r="F1" s="1"/>
    </row>
    <row r="3" ht="14.9" customHeight="1" spans="1:6">
      <c r="A3" s="2" t="s">
        <v>233</v>
      </c>
      <c r="B3" s="2" t="s">
        <v>42</v>
      </c>
      <c r="D3" s="3" t="s">
        <v>234</v>
      </c>
      <c r="E3" s="3"/>
      <c r="F3" s="3"/>
    </row>
    <row r="4" ht="27.75" customHeight="1" spans="1:6">
      <c r="A4" s="4" t="s">
        <v>57</v>
      </c>
      <c r="B4" s="5" t="s">
        <v>32</v>
      </c>
      <c r="D4" s="4" t="s">
        <v>235</v>
      </c>
      <c r="E4" s="6" t="s">
        <v>236</v>
      </c>
    </row>
    <row r="5" ht="27.75" customHeight="1" spans="1:6">
      <c r="A5" s="4" t="s">
        <v>48</v>
      </c>
      <c r="B5" s="5" t="s">
        <v>237</v>
      </c>
      <c r="D5" s="4" t="s">
        <v>238</v>
      </c>
      <c r="E5" s="6" t="s">
        <v>239</v>
      </c>
    </row>
    <row r="6" ht="27.75" customHeight="1" spans="1:6">
      <c r="A6" s="4" t="s">
        <v>240</v>
      </c>
      <c r="B6" s="5" t="s">
        <v>241</v>
      </c>
      <c r="D6" s="4" t="s">
        <v>242</v>
      </c>
      <c r="E6" s="6" t="s">
        <v>243</v>
      </c>
    </row>
    <row r="7" ht="27.75" customHeight="1" spans="1:6">
      <c r="A7" s="4" t="s">
        <v>244</v>
      </c>
      <c r="B7" s="5" t="s">
        <v>245</v>
      </c>
      <c r="D7" s="4" t="s">
        <v>246</v>
      </c>
      <c r="E7" s="6" t="s">
        <v>247</v>
      </c>
    </row>
    <row r="8" ht="27.75" customHeight="1" spans="1:6">
      <c r="A8" s="4" t="s">
        <v>248</v>
      </c>
      <c r="B8" s="5" t="s">
        <v>249</v>
      </c>
      <c r="D8" s="4" t="s">
        <v>250</v>
      </c>
      <c r="E8" s="6" t="s">
        <v>251</v>
      </c>
    </row>
    <row r="9" ht="48.75" customHeight="1" spans="1:6">
      <c r="A9" s="4" t="s">
        <v>252</v>
      </c>
      <c r="B9" s="5" t="s">
        <v>253</v>
      </c>
    </row>
    <row r="10" ht="48.75" customHeight="1" spans="1:6">
      <c r="A10" s="4" t="s">
        <v>254</v>
      </c>
      <c r="B10" s="5" t="s">
        <v>255</v>
      </c>
    </row>
    <row r="11" ht="48.75" customHeight="1" spans="1:6">
      <c r="A11" s="4" t="s">
        <v>256</v>
      </c>
      <c r="B11" s="5" t="s">
        <v>257</v>
      </c>
    </row>
    <row r="12" ht="48.75" customHeight="1" spans="1:6">
      <c r="A12" s="4" t="s">
        <v>258</v>
      </c>
      <c r="B12" s="5" t="s">
        <v>259</v>
      </c>
    </row>
    <row r="13" ht="48.75" customHeight="1" spans="1:6">
      <c r="A13" s="4" t="s">
        <v>260</v>
      </c>
      <c r="B13" s="5" t="s">
        <v>261</v>
      </c>
    </row>
    <row r="14" ht="48.75" customHeight="1" spans="1:6">
      <c r="A14" s="4" t="s">
        <v>262</v>
      </c>
      <c r="B14" s="5" t="s">
        <v>263</v>
      </c>
    </row>
    <row r="15" ht="48.75" customHeight="1" spans="1:6">
      <c r="A15" s="4" t="s">
        <v>264</v>
      </c>
      <c r="B15" s="5" t="s">
        <v>265</v>
      </c>
    </row>
  </sheetData>
  <mergeCells count="2">
    <mergeCell ref="A1:F1"/>
    <mergeCell ref="D3:F3"/>
  </mergeCells>
  <dataValidations count="1">
    <dataValidation type="list" sqref="B4">
      <formula1>"Unit 1 / Phase 1,Phase 2,Phase 3,Final"</formula1>
    </dataValidation>
  </dataValidations>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8</vt:i4>
      </vt:variant>
    </vt:vector>
  </HeadingPairs>
  <TitlesOfParts>
    <vt:vector size="8" baseType="lpstr">
      <vt:lpstr>Instructions</vt:lpstr>
      <vt:lpstr>Project Overview</vt:lpstr>
      <vt:lpstr>Task Progress</vt:lpstr>
      <vt:lpstr>Individual Contributions</vt:lpstr>
      <vt:lpstr>Challenges &amp; Actions</vt:lpstr>
      <vt:lpstr>Phase Summary</vt:lpstr>
      <vt:lpstr>Stakeholder Engagement</vt:lpstr>
      <vt:lpstr>Group Reflection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Neo Lekhelebana</cp:lastModifiedBy>
  <cp:revision>1</cp:revision>
  <dcterms:created xsi:type="dcterms:W3CDTF">2026-08-26T12:09:00Z</dcterms:created>
  <dcterms:modified xsi:type="dcterms:W3CDTF">2026-08-31T11:02:09Z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2EA657B9D2984658AD07E2FFA6DFDD31_12</vt:lpwstr>
  </property>
  <property fmtid="{D5CDD505-2E9C-101B-9397-08002B2CF9AE}" pid="4" name="KSOProductBuildVer">
    <vt:lpwstr>1033-12.1.0.28032</vt:lpwstr>
  </property>
</Properties>
</file>